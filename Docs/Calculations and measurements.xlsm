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debruijn\Drive\Programming\MPLABX\LedCube.X\Docs\"/>
    </mc:Choice>
  </mc:AlternateContent>
  <bookViews>
    <workbookView xWindow="0" yWindow="0" windowWidth="28800" windowHeight="12330" activeTab="6"/>
  </bookViews>
  <sheets>
    <sheet name="Overview" sheetId="1" r:id="rId1"/>
    <sheet name="Oscillator" sheetId="2" r:id="rId2"/>
    <sheet name="UART" sheetId="3" r:id="rId3"/>
    <sheet name="Power measurements" sheetId="6" r:id="rId4"/>
    <sheet name="BAM" sheetId="7" r:id="rId5"/>
    <sheet name="Stdint" sheetId="8" r:id="rId6"/>
    <sheet name="Delay" sheetId="9" r:id="rId7"/>
    <sheet name="template" sheetId="5" r:id="rId8"/>
  </sheets>
  <definedNames>
    <definedName name="BAM_bits">BAM!$D$11</definedName>
    <definedName name="delay_ms_MAX">Delay!$D$12</definedName>
    <definedName name="delay_s_MAX">Delay!$D$11</definedName>
    <definedName name="delay_us_MAX">Delay!$D$13</definedName>
    <definedName name="FCY">Oscillator!$D$15</definedName>
    <definedName name="FOSC">Oscillator!$D$11</definedName>
    <definedName name="FRCDIV">Oscillator!$D$13</definedName>
    <definedName name="INT16_MAX">Stdint!$D$15</definedName>
    <definedName name="INT16_MIN">Stdint!$D$14</definedName>
    <definedName name="INT32_MAX">Stdint!$D$18</definedName>
    <definedName name="INT32_MIN">Stdint!$D$17</definedName>
    <definedName name="INT8_MAX">Stdint!$D$12</definedName>
    <definedName name="INT8_MIN">Stdint!$D$11</definedName>
    <definedName name="PLL_enabled">Oscillator!$D$12</definedName>
    <definedName name="SYS_FREQ">Oscillator!$D$14</definedName>
    <definedName name="UART_BR_error">UART!$E$15</definedName>
    <definedName name="UART_BRG">UART!$E$13</definedName>
    <definedName name="UART_calculated_BR">UART!$E$14</definedName>
    <definedName name="UART_desired_BR">UART!$E$11</definedName>
    <definedName name="UART_high_speed">UART!$E$12</definedName>
    <definedName name="UART_max_BRE_error">UART!$C$19</definedName>
    <definedName name="UART_max_BRE_warning">UART!$C$18</definedName>
    <definedName name="UINT16_MAX">Stdint!$D$16</definedName>
    <definedName name="UINT32_MAX">Stdint!$D$19</definedName>
    <definedName name="UINT8_MAX">Stdint!$D$13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9" l="1"/>
  <c r="D12" i="9"/>
  <c r="D11" i="9"/>
  <c r="C53" i="7" l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B52" i="7"/>
  <c r="B57" i="7"/>
  <c r="B58" i="7"/>
  <c r="B59" i="7"/>
  <c r="B60" i="7"/>
  <c r="B66" i="7"/>
  <c r="B51" i="7"/>
  <c r="D52" i="7"/>
  <c r="D53" i="7"/>
  <c r="D54" i="7"/>
  <c r="D55" i="7"/>
  <c r="D57" i="7"/>
  <c r="D58" i="7"/>
  <c r="D59" i="7"/>
  <c r="D60" i="7"/>
  <c r="D61" i="7"/>
  <c r="D62" i="7"/>
  <c r="D65" i="7"/>
  <c r="D66" i="7"/>
  <c r="D51" i="7"/>
  <c r="D14" i="2"/>
  <c r="D15" i="2" s="1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G23" i="3"/>
  <c r="F23" i="3"/>
  <c r="F11" i="2"/>
  <c r="D64" i="7" l="1"/>
  <c r="D56" i="7"/>
  <c r="B64" i="7"/>
  <c r="B56" i="7"/>
  <c r="B65" i="7"/>
  <c r="D63" i="7"/>
  <c r="B63" i="7"/>
  <c r="B55" i="7"/>
  <c r="B62" i="7"/>
  <c r="B54" i="7"/>
  <c r="B61" i="7"/>
  <c r="B53" i="7"/>
  <c r="C30" i="3"/>
  <c r="D30" i="3" s="1"/>
  <c r="E30" i="3" s="1"/>
  <c r="C35" i="3"/>
  <c r="D35" i="3" s="1"/>
  <c r="E35" i="3" s="1"/>
  <c r="E13" i="3"/>
  <c r="E14" i="3" s="1"/>
  <c r="E15" i="3" s="1"/>
  <c r="C25" i="3"/>
  <c r="D25" i="3" s="1"/>
  <c r="E25" i="3" s="1"/>
  <c r="C33" i="3"/>
  <c r="D33" i="3" s="1"/>
  <c r="E33" i="3" s="1"/>
  <c r="C28" i="3"/>
  <c r="D28" i="3" s="1"/>
  <c r="E28" i="3" s="1"/>
  <c r="C36" i="3"/>
  <c r="D36" i="3" s="1"/>
  <c r="E36" i="3" s="1"/>
  <c r="C31" i="3"/>
  <c r="D31" i="3" s="1"/>
  <c r="E31" i="3" s="1"/>
  <c r="F15" i="2"/>
  <c r="C26" i="3"/>
  <c r="D26" i="3" s="1"/>
  <c r="E26" i="3" s="1"/>
  <c r="C34" i="3"/>
  <c r="D34" i="3" s="1"/>
  <c r="E34" i="3" s="1"/>
  <c r="C29" i="3"/>
  <c r="D29" i="3" s="1"/>
  <c r="E29" i="3" s="1"/>
  <c r="C23" i="3"/>
  <c r="D23" i="3" s="1"/>
  <c r="E23" i="3" s="1"/>
  <c r="C24" i="3"/>
  <c r="D24" i="3" s="1"/>
  <c r="E24" i="3" s="1"/>
  <c r="C32" i="3"/>
  <c r="D32" i="3" s="1"/>
  <c r="E32" i="3" s="1"/>
  <c r="C27" i="3"/>
  <c r="D27" i="3" s="1"/>
  <c r="E27" i="3" s="1"/>
  <c r="F14" i="2"/>
  <c r="C68" i="7"/>
  <c r="D67" i="7"/>
  <c r="B67" i="7"/>
  <c r="B68" i="7" l="1"/>
  <c r="C69" i="7"/>
  <c r="D68" i="7"/>
  <c r="D69" i="7" l="1"/>
  <c r="B69" i="7"/>
  <c r="C70" i="7"/>
  <c r="B70" i="7" l="1"/>
  <c r="C71" i="7"/>
  <c r="D70" i="7"/>
  <c r="C72" i="7" l="1"/>
  <c r="D71" i="7"/>
  <c r="B71" i="7"/>
  <c r="B72" i="7" l="1"/>
  <c r="C73" i="7"/>
  <c r="D72" i="7"/>
  <c r="B73" i="7" l="1"/>
  <c r="C74" i="7"/>
  <c r="D73" i="7"/>
  <c r="B74" i="7" l="1"/>
  <c r="C75" i="7"/>
  <c r="D74" i="7"/>
  <c r="C76" i="7" l="1"/>
  <c r="D75" i="7"/>
  <c r="B75" i="7"/>
  <c r="B76" i="7" l="1"/>
  <c r="C77" i="7"/>
  <c r="D76" i="7"/>
  <c r="D77" i="7" l="1"/>
  <c r="B77" i="7"/>
  <c r="C78" i="7"/>
  <c r="B78" i="7" l="1"/>
  <c r="C79" i="7"/>
  <c r="D78" i="7"/>
  <c r="C80" i="7" l="1"/>
  <c r="D79" i="7"/>
  <c r="B79" i="7"/>
  <c r="B80" i="7" l="1"/>
  <c r="C81" i="7"/>
  <c r="D80" i="7"/>
  <c r="B81" i="7" l="1"/>
  <c r="C82" i="7"/>
  <c r="D81" i="7"/>
  <c r="B82" i="7" l="1"/>
  <c r="C83" i="7"/>
  <c r="D82" i="7"/>
  <c r="C84" i="7" l="1"/>
  <c r="D83" i="7"/>
  <c r="B83" i="7"/>
  <c r="B84" i="7" l="1"/>
  <c r="C85" i="7"/>
  <c r="D84" i="7"/>
  <c r="D85" i="7" l="1"/>
  <c r="B85" i="7"/>
  <c r="C86" i="7"/>
  <c r="B86" i="7" l="1"/>
  <c r="C87" i="7"/>
  <c r="D86" i="7"/>
  <c r="C88" i="7" l="1"/>
  <c r="D87" i="7"/>
  <c r="B87" i="7"/>
  <c r="B88" i="7" l="1"/>
  <c r="C89" i="7"/>
  <c r="D88" i="7"/>
  <c r="B89" i="7" l="1"/>
  <c r="C90" i="7"/>
  <c r="D89" i="7"/>
  <c r="B90" i="7" l="1"/>
  <c r="C91" i="7"/>
  <c r="D90" i="7"/>
  <c r="C92" i="7" l="1"/>
  <c r="D91" i="7"/>
  <c r="B91" i="7"/>
  <c r="B92" i="7" l="1"/>
  <c r="C93" i="7"/>
  <c r="D92" i="7"/>
  <c r="D93" i="7" l="1"/>
  <c r="B93" i="7"/>
  <c r="C94" i="7"/>
  <c r="B94" i="7" l="1"/>
  <c r="C95" i="7"/>
  <c r="D94" i="7"/>
  <c r="C96" i="7" l="1"/>
  <c r="D95" i="7"/>
  <c r="B95" i="7"/>
  <c r="B96" i="7" l="1"/>
  <c r="C97" i="7"/>
  <c r="D96" i="7"/>
  <c r="B97" i="7" l="1"/>
  <c r="C98" i="7"/>
  <c r="D97" i="7"/>
  <c r="B98" i="7" l="1"/>
  <c r="C99" i="7"/>
  <c r="D98" i="7"/>
  <c r="C100" i="7" l="1"/>
  <c r="D99" i="7"/>
  <c r="B99" i="7"/>
  <c r="B100" i="7" l="1"/>
  <c r="C101" i="7"/>
  <c r="D100" i="7"/>
  <c r="D101" i="7" l="1"/>
  <c r="B101" i="7"/>
  <c r="C102" i="7"/>
  <c r="B102" i="7" l="1"/>
  <c r="C103" i="7"/>
  <c r="D102" i="7"/>
  <c r="C104" i="7" l="1"/>
  <c r="D103" i="7"/>
  <c r="B103" i="7"/>
  <c r="B104" i="7" l="1"/>
  <c r="C105" i="7"/>
  <c r="D104" i="7"/>
  <c r="B105" i="7" l="1"/>
  <c r="C106" i="7"/>
  <c r="D105" i="7"/>
  <c r="B106" i="7" l="1"/>
  <c r="C107" i="7"/>
  <c r="D106" i="7"/>
  <c r="C108" i="7" l="1"/>
  <c r="D107" i="7"/>
  <c r="B107" i="7"/>
  <c r="B108" i="7" l="1"/>
  <c r="C109" i="7"/>
  <c r="D108" i="7"/>
  <c r="D109" i="7" l="1"/>
  <c r="B109" i="7"/>
  <c r="C110" i="7"/>
  <c r="B110" i="7" l="1"/>
  <c r="C111" i="7"/>
  <c r="D110" i="7"/>
  <c r="C112" i="7" l="1"/>
  <c r="D111" i="7"/>
  <c r="B111" i="7"/>
  <c r="B112" i="7" l="1"/>
  <c r="C113" i="7"/>
  <c r="D112" i="7"/>
  <c r="B113" i="7" l="1"/>
  <c r="C114" i="7"/>
  <c r="D113" i="7"/>
  <c r="B114" i="7" l="1"/>
  <c r="C115" i="7"/>
  <c r="D114" i="7"/>
  <c r="C116" i="7" l="1"/>
  <c r="D115" i="7"/>
  <c r="B115" i="7"/>
  <c r="B116" i="7" l="1"/>
  <c r="C117" i="7"/>
  <c r="D116" i="7"/>
  <c r="D117" i="7" l="1"/>
  <c r="B117" i="7"/>
  <c r="C118" i="7"/>
  <c r="B118" i="7" l="1"/>
  <c r="C119" i="7"/>
  <c r="D118" i="7"/>
  <c r="C120" i="7" l="1"/>
  <c r="D119" i="7"/>
  <c r="B119" i="7"/>
  <c r="B120" i="7" l="1"/>
  <c r="C121" i="7"/>
  <c r="D120" i="7"/>
  <c r="B121" i="7" l="1"/>
  <c r="C122" i="7"/>
  <c r="D121" i="7"/>
  <c r="B122" i="7" l="1"/>
  <c r="C123" i="7"/>
  <c r="D122" i="7"/>
  <c r="C124" i="7" l="1"/>
  <c r="D123" i="7"/>
  <c r="B123" i="7"/>
  <c r="B124" i="7" l="1"/>
  <c r="C125" i="7"/>
  <c r="D124" i="7"/>
  <c r="D125" i="7" l="1"/>
  <c r="B125" i="7"/>
  <c r="C126" i="7"/>
  <c r="B126" i="7" l="1"/>
  <c r="C127" i="7"/>
  <c r="D126" i="7"/>
  <c r="C128" i="7" l="1"/>
  <c r="D127" i="7"/>
  <c r="B127" i="7"/>
  <c r="B128" i="7" l="1"/>
  <c r="C129" i="7"/>
  <c r="D128" i="7"/>
  <c r="B129" i="7" l="1"/>
  <c r="C130" i="7"/>
  <c r="D129" i="7"/>
  <c r="C131" i="7" l="1"/>
  <c r="D130" i="7"/>
  <c r="B130" i="7"/>
  <c r="C132" i="7" l="1"/>
  <c r="D131" i="7"/>
  <c r="B131" i="7"/>
  <c r="C133" i="7" l="1"/>
  <c r="D132" i="7"/>
  <c r="B132" i="7"/>
  <c r="D133" i="7" l="1"/>
  <c r="B133" i="7"/>
  <c r="C134" i="7"/>
  <c r="C135" i="7" l="1"/>
  <c r="D134" i="7"/>
  <c r="B134" i="7"/>
  <c r="C136" i="7" l="1"/>
  <c r="D135" i="7"/>
  <c r="B135" i="7"/>
  <c r="C137" i="7" l="1"/>
  <c r="D136" i="7"/>
  <c r="B136" i="7"/>
  <c r="C138" i="7" l="1"/>
  <c r="D137" i="7"/>
  <c r="B137" i="7"/>
  <c r="C139" i="7" l="1"/>
  <c r="B138" i="7"/>
  <c r="D138" i="7"/>
  <c r="C140" i="7" l="1"/>
  <c r="D139" i="7"/>
  <c r="B139" i="7"/>
  <c r="C141" i="7" l="1"/>
  <c r="B140" i="7"/>
  <c r="D140" i="7"/>
  <c r="D141" i="7" l="1"/>
  <c r="C142" i="7"/>
  <c r="B141" i="7"/>
  <c r="C143" i="7" l="1"/>
  <c r="B142" i="7"/>
  <c r="D142" i="7"/>
  <c r="C144" i="7" l="1"/>
  <c r="D143" i="7"/>
  <c r="B143" i="7"/>
  <c r="C145" i="7" l="1"/>
  <c r="B144" i="7"/>
  <c r="D144" i="7"/>
  <c r="C146" i="7" l="1"/>
  <c r="D145" i="7"/>
  <c r="B145" i="7"/>
  <c r="C147" i="7" l="1"/>
  <c r="B146" i="7"/>
  <c r="D146" i="7"/>
  <c r="C148" i="7" l="1"/>
  <c r="D147" i="7"/>
  <c r="B147" i="7"/>
  <c r="C149" i="7" l="1"/>
  <c r="D148" i="7"/>
  <c r="B148" i="7"/>
  <c r="D149" i="7" l="1"/>
  <c r="C150" i="7"/>
  <c r="B149" i="7"/>
  <c r="C151" i="7" l="1"/>
  <c r="D150" i="7"/>
  <c r="B150" i="7"/>
  <c r="C152" i="7" l="1"/>
  <c r="D151" i="7"/>
  <c r="B151" i="7"/>
  <c r="C153" i="7" l="1"/>
  <c r="D152" i="7"/>
  <c r="B152" i="7"/>
  <c r="C154" i="7" l="1"/>
  <c r="D153" i="7"/>
  <c r="B153" i="7"/>
  <c r="C155" i="7" l="1"/>
  <c r="B154" i="7"/>
  <c r="D154" i="7"/>
  <c r="C156" i="7" l="1"/>
  <c r="D155" i="7"/>
  <c r="B155" i="7"/>
  <c r="C157" i="7" l="1"/>
  <c r="B156" i="7"/>
  <c r="D156" i="7"/>
  <c r="D157" i="7" l="1"/>
  <c r="C158" i="7"/>
  <c r="B157" i="7"/>
  <c r="C159" i="7" l="1"/>
  <c r="B158" i="7"/>
  <c r="D158" i="7"/>
  <c r="C160" i="7" l="1"/>
  <c r="D159" i="7"/>
  <c r="B159" i="7"/>
  <c r="C161" i="7" l="1"/>
  <c r="B160" i="7"/>
  <c r="D160" i="7"/>
  <c r="C162" i="7" l="1"/>
  <c r="D161" i="7"/>
  <c r="B161" i="7"/>
  <c r="C163" i="7" l="1"/>
  <c r="B162" i="7"/>
  <c r="D162" i="7"/>
  <c r="C164" i="7" l="1"/>
  <c r="D163" i="7"/>
  <c r="B163" i="7"/>
  <c r="C165" i="7" l="1"/>
  <c r="D164" i="7"/>
  <c r="B164" i="7"/>
  <c r="D165" i="7" l="1"/>
  <c r="C166" i="7"/>
  <c r="B165" i="7"/>
  <c r="C167" i="7" l="1"/>
  <c r="D166" i="7"/>
  <c r="B166" i="7"/>
  <c r="C168" i="7" l="1"/>
  <c r="D167" i="7"/>
  <c r="B167" i="7"/>
  <c r="C169" i="7" l="1"/>
  <c r="D168" i="7"/>
  <c r="B168" i="7"/>
  <c r="C170" i="7" l="1"/>
  <c r="D169" i="7"/>
  <c r="B169" i="7"/>
  <c r="C171" i="7" l="1"/>
  <c r="B170" i="7"/>
  <c r="D170" i="7"/>
  <c r="C172" i="7" l="1"/>
  <c r="D171" i="7"/>
  <c r="B171" i="7"/>
  <c r="C173" i="7" l="1"/>
  <c r="B172" i="7"/>
  <c r="D172" i="7"/>
  <c r="D173" i="7" l="1"/>
  <c r="C174" i="7"/>
  <c r="B173" i="7"/>
  <c r="C175" i="7" l="1"/>
  <c r="B174" i="7"/>
  <c r="D174" i="7"/>
  <c r="C176" i="7" l="1"/>
  <c r="D175" i="7"/>
  <c r="B175" i="7"/>
  <c r="C177" i="7" l="1"/>
  <c r="B176" i="7"/>
  <c r="D176" i="7"/>
  <c r="C178" i="7" l="1"/>
  <c r="D177" i="7"/>
  <c r="B177" i="7"/>
  <c r="C179" i="7" l="1"/>
  <c r="B178" i="7"/>
  <c r="D178" i="7"/>
  <c r="C180" i="7" l="1"/>
  <c r="D179" i="7"/>
  <c r="B179" i="7"/>
  <c r="C181" i="7" l="1"/>
  <c r="D180" i="7"/>
  <c r="B180" i="7"/>
  <c r="D181" i="7" l="1"/>
  <c r="C182" i="7"/>
  <c r="B181" i="7"/>
  <c r="C183" i="7" l="1"/>
  <c r="D182" i="7"/>
  <c r="B182" i="7"/>
  <c r="C184" i="7" l="1"/>
  <c r="D183" i="7"/>
  <c r="B183" i="7"/>
  <c r="C185" i="7" l="1"/>
  <c r="D184" i="7"/>
  <c r="B184" i="7"/>
  <c r="C186" i="7" l="1"/>
  <c r="D185" i="7"/>
  <c r="B185" i="7"/>
  <c r="C187" i="7" l="1"/>
  <c r="B186" i="7"/>
  <c r="D186" i="7"/>
  <c r="C188" i="7" l="1"/>
  <c r="D187" i="7"/>
  <c r="B187" i="7"/>
  <c r="C189" i="7" l="1"/>
  <c r="B188" i="7"/>
  <c r="D188" i="7"/>
  <c r="D189" i="7" l="1"/>
  <c r="C190" i="7"/>
  <c r="B189" i="7"/>
  <c r="C191" i="7" l="1"/>
  <c r="B190" i="7"/>
  <c r="D190" i="7"/>
  <c r="C192" i="7" l="1"/>
  <c r="D191" i="7"/>
  <c r="B191" i="7"/>
  <c r="C193" i="7" l="1"/>
  <c r="B192" i="7"/>
  <c r="D192" i="7"/>
  <c r="C194" i="7" l="1"/>
  <c r="D193" i="7"/>
  <c r="B193" i="7"/>
  <c r="C195" i="7" l="1"/>
  <c r="B194" i="7"/>
  <c r="D194" i="7"/>
  <c r="C196" i="7" l="1"/>
  <c r="D195" i="7"/>
  <c r="B195" i="7"/>
  <c r="C197" i="7" l="1"/>
  <c r="D196" i="7"/>
  <c r="B196" i="7"/>
  <c r="D197" i="7" l="1"/>
  <c r="C198" i="7"/>
  <c r="B197" i="7"/>
  <c r="C199" i="7" l="1"/>
  <c r="D198" i="7"/>
  <c r="B198" i="7"/>
  <c r="C200" i="7" l="1"/>
  <c r="D199" i="7"/>
  <c r="B199" i="7"/>
  <c r="C201" i="7" l="1"/>
  <c r="D200" i="7"/>
  <c r="B200" i="7"/>
  <c r="C202" i="7" l="1"/>
  <c r="D201" i="7"/>
  <c r="B201" i="7"/>
  <c r="C203" i="7" l="1"/>
  <c r="B202" i="7"/>
  <c r="D202" i="7"/>
  <c r="C204" i="7" l="1"/>
  <c r="D203" i="7"/>
  <c r="B203" i="7"/>
  <c r="C205" i="7" l="1"/>
  <c r="B204" i="7"/>
  <c r="D204" i="7"/>
  <c r="D205" i="7" l="1"/>
  <c r="C206" i="7"/>
  <c r="B205" i="7"/>
  <c r="C207" i="7" l="1"/>
  <c r="B206" i="7"/>
  <c r="D206" i="7"/>
  <c r="C208" i="7" l="1"/>
  <c r="D207" i="7"/>
  <c r="B207" i="7"/>
  <c r="C209" i="7" l="1"/>
  <c r="B208" i="7"/>
  <c r="D208" i="7"/>
  <c r="C210" i="7" l="1"/>
  <c r="D209" i="7"/>
  <c r="B209" i="7"/>
  <c r="C211" i="7" l="1"/>
  <c r="B210" i="7"/>
  <c r="D210" i="7"/>
  <c r="C212" i="7" l="1"/>
  <c r="D211" i="7"/>
  <c r="B211" i="7"/>
  <c r="C213" i="7" l="1"/>
  <c r="D212" i="7"/>
  <c r="B212" i="7"/>
  <c r="D213" i="7" l="1"/>
  <c r="C214" i="7"/>
  <c r="B213" i="7"/>
  <c r="C215" i="7" l="1"/>
  <c r="D214" i="7"/>
  <c r="B214" i="7"/>
  <c r="C216" i="7" l="1"/>
  <c r="D215" i="7"/>
  <c r="B215" i="7"/>
  <c r="C217" i="7" l="1"/>
  <c r="D216" i="7"/>
  <c r="B216" i="7"/>
  <c r="C218" i="7" l="1"/>
  <c r="D217" i="7"/>
  <c r="B217" i="7"/>
  <c r="C219" i="7" l="1"/>
  <c r="B218" i="7"/>
  <c r="D218" i="7"/>
  <c r="C220" i="7" l="1"/>
  <c r="D219" i="7"/>
  <c r="B219" i="7"/>
  <c r="C221" i="7" l="1"/>
  <c r="B220" i="7"/>
  <c r="D220" i="7"/>
  <c r="D221" i="7" l="1"/>
  <c r="C222" i="7"/>
  <c r="B221" i="7"/>
  <c r="C223" i="7" l="1"/>
  <c r="B222" i="7"/>
  <c r="D222" i="7"/>
  <c r="C224" i="7" l="1"/>
  <c r="D223" i="7"/>
  <c r="B223" i="7"/>
  <c r="C225" i="7" l="1"/>
  <c r="B224" i="7"/>
  <c r="D224" i="7"/>
  <c r="C226" i="7" l="1"/>
  <c r="D225" i="7"/>
  <c r="B225" i="7"/>
  <c r="C227" i="7" l="1"/>
  <c r="B226" i="7"/>
  <c r="D226" i="7"/>
  <c r="C228" i="7" l="1"/>
  <c r="B227" i="7"/>
  <c r="D227" i="7"/>
  <c r="C229" i="7" l="1"/>
  <c r="B228" i="7"/>
  <c r="D228" i="7"/>
  <c r="D229" i="7" l="1"/>
  <c r="C230" i="7"/>
  <c r="B229" i="7"/>
  <c r="C231" i="7" l="1"/>
  <c r="D230" i="7"/>
  <c r="B230" i="7"/>
  <c r="C232" i="7" l="1"/>
  <c r="D231" i="7"/>
  <c r="B231" i="7"/>
  <c r="C233" i="7" l="1"/>
  <c r="D232" i="7"/>
  <c r="B232" i="7"/>
  <c r="C234" i="7" l="1"/>
  <c r="D233" i="7"/>
  <c r="B233" i="7"/>
  <c r="C235" i="7" l="1"/>
  <c r="B234" i="7"/>
  <c r="D234" i="7"/>
  <c r="C236" i="7" l="1"/>
  <c r="B235" i="7"/>
  <c r="D235" i="7"/>
  <c r="C237" i="7" l="1"/>
  <c r="B236" i="7"/>
  <c r="D236" i="7"/>
  <c r="D237" i="7" l="1"/>
  <c r="C238" i="7"/>
  <c r="B237" i="7"/>
  <c r="C239" i="7" l="1"/>
  <c r="D238" i="7"/>
  <c r="B238" i="7"/>
  <c r="C240" i="7" l="1"/>
  <c r="D239" i="7"/>
  <c r="B239" i="7"/>
  <c r="C241" i="7" l="1"/>
  <c r="D240" i="7"/>
  <c r="B240" i="7"/>
  <c r="C242" i="7" l="1"/>
  <c r="D241" i="7"/>
  <c r="B241" i="7"/>
  <c r="C243" i="7" l="1"/>
  <c r="B242" i="7"/>
  <c r="D242" i="7"/>
  <c r="C244" i="7" l="1"/>
  <c r="B243" i="7"/>
  <c r="D243" i="7"/>
  <c r="C245" i="7" l="1"/>
  <c r="B244" i="7"/>
  <c r="D244" i="7"/>
  <c r="D245" i="7" l="1"/>
  <c r="C246" i="7"/>
  <c r="B245" i="7"/>
  <c r="C247" i="7" l="1"/>
  <c r="B246" i="7"/>
  <c r="D246" i="7"/>
  <c r="C248" i="7" l="1"/>
  <c r="D247" i="7"/>
  <c r="B247" i="7"/>
  <c r="C249" i="7" l="1"/>
  <c r="B248" i="7"/>
  <c r="D248" i="7"/>
  <c r="C250" i="7" l="1"/>
  <c r="D249" i="7"/>
  <c r="B249" i="7"/>
  <c r="C251" i="7" l="1"/>
  <c r="B250" i="7"/>
  <c r="D250" i="7"/>
  <c r="C252" i="7" l="1"/>
  <c r="D251" i="7"/>
  <c r="B251" i="7"/>
  <c r="C253" i="7" l="1"/>
  <c r="D252" i="7"/>
  <c r="B252" i="7"/>
  <c r="C254" i="7" l="1"/>
  <c r="D253" i="7"/>
  <c r="B253" i="7"/>
  <c r="C255" i="7" l="1"/>
  <c r="D254" i="7"/>
  <c r="B254" i="7"/>
  <c r="C256" i="7" l="1"/>
  <c r="D255" i="7"/>
  <c r="B255" i="7"/>
  <c r="C257" i="7" l="1"/>
  <c r="D256" i="7"/>
  <c r="B256" i="7"/>
  <c r="C258" i="7" l="1"/>
  <c r="D257" i="7"/>
  <c r="B257" i="7"/>
  <c r="C259" i="7" l="1"/>
  <c r="B258" i="7"/>
  <c r="D258" i="7"/>
  <c r="C260" i="7" l="1"/>
  <c r="D259" i="7"/>
  <c r="B259" i="7"/>
  <c r="C261" i="7" l="1"/>
  <c r="D260" i="7"/>
  <c r="B260" i="7"/>
  <c r="C262" i="7" l="1"/>
  <c r="D261" i="7"/>
  <c r="B261" i="7"/>
  <c r="C263" i="7" l="1"/>
  <c r="D262" i="7"/>
  <c r="B262" i="7"/>
  <c r="C264" i="7" l="1"/>
  <c r="D263" i="7"/>
  <c r="B263" i="7"/>
  <c r="C265" i="7" l="1"/>
  <c r="D264" i="7"/>
  <c r="B264" i="7"/>
  <c r="C266" i="7" l="1"/>
  <c r="D265" i="7"/>
  <c r="B265" i="7"/>
  <c r="C267" i="7" l="1"/>
  <c r="B266" i="7"/>
  <c r="D266" i="7"/>
  <c r="C268" i="7" l="1"/>
  <c r="D267" i="7"/>
  <c r="B267" i="7"/>
  <c r="C269" i="7" l="1"/>
  <c r="D268" i="7"/>
  <c r="B268" i="7"/>
  <c r="C270" i="7" l="1"/>
  <c r="D269" i="7"/>
  <c r="B269" i="7"/>
  <c r="C271" i="7" l="1"/>
  <c r="D270" i="7"/>
  <c r="B270" i="7"/>
  <c r="C272" i="7" l="1"/>
  <c r="D271" i="7"/>
  <c r="B271" i="7"/>
  <c r="C273" i="7" l="1"/>
  <c r="D272" i="7"/>
  <c r="B272" i="7"/>
  <c r="C274" i="7" l="1"/>
  <c r="D273" i="7"/>
  <c r="B273" i="7"/>
  <c r="C275" i="7" l="1"/>
  <c r="B274" i="7"/>
  <c r="D274" i="7"/>
  <c r="C276" i="7" l="1"/>
  <c r="D275" i="7"/>
  <c r="B275" i="7"/>
  <c r="C277" i="7" l="1"/>
  <c r="D276" i="7"/>
  <c r="B276" i="7"/>
  <c r="C278" i="7" l="1"/>
  <c r="D277" i="7"/>
  <c r="B277" i="7"/>
  <c r="C279" i="7" l="1"/>
  <c r="D278" i="7"/>
  <c r="B278" i="7"/>
  <c r="C280" i="7" l="1"/>
  <c r="D279" i="7"/>
  <c r="B279" i="7"/>
  <c r="C281" i="7" l="1"/>
  <c r="D280" i="7"/>
  <c r="B280" i="7"/>
  <c r="C282" i="7" l="1"/>
  <c r="D281" i="7"/>
  <c r="B281" i="7"/>
  <c r="C283" i="7" l="1"/>
  <c r="B282" i="7"/>
  <c r="D282" i="7"/>
  <c r="C284" i="7" l="1"/>
  <c r="D283" i="7"/>
  <c r="B283" i="7"/>
  <c r="C285" i="7" l="1"/>
  <c r="D284" i="7"/>
  <c r="B284" i="7"/>
  <c r="C286" i="7" l="1"/>
  <c r="D285" i="7"/>
  <c r="B285" i="7"/>
  <c r="C287" i="7" l="1"/>
  <c r="D286" i="7"/>
  <c r="B286" i="7"/>
  <c r="C288" i="7" l="1"/>
  <c r="D287" i="7"/>
  <c r="B287" i="7"/>
  <c r="C289" i="7" l="1"/>
  <c r="D288" i="7"/>
  <c r="B288" i="7"/>
  <c r="C290" i="7" l="1"/>
  <c r="D289" i="7"/>
  <c r="B289" i="7"/>
  <c r="C291" i="7" l="1"/>
  <c r="B290" i="7"/>
  <c r="D290" i="7"/>
  <c r="C292" i="7" l="1"/>
  <c r="D291" i="7"/>
  <c r="B291" i="7"/>
  <c r="C293" i="7" l="1"/>
  <c r="D292" i="7"/>
  <c r="B292" i="7"/>
  <c r="C294" i="7" l="1"/>
  <c r="D293" i="7"/>
  <c r="B293" i="7"/>
  <c r="C295" i="7" l="1"/>
  <c r="D294" i="7"/>
  <c r="B294" i="7"/>
  <c r="C296" i="7" l="1"/>
  <c r="D295" i="7"/>
  <c r="B295" i="7"/>
  <c r="C297" i="7" l="1"/>
  <c r="D296" i="7"/>
  <c r="B296" i="7"/>
  <c r="C298" i="7" l="1"/>
  <c r="D297" i="7"/>
  <c r="B297" i="7"/>
  <c r="C299" i="7" l="1"/>
  <c r="B298" i="7"/>
  <c r="D298" i="7"/>
  <c r="C300" i="7" l="1"/>
  <c r="D299" i="7"/>
  <c r="B299" i="7"/>
  <c r="C301" i="7" l="1"/>
  <c r="D300" i="7"/>
  <c r="B300" i="7"/>
  <c r="C302" i="7" l="1"/>
  <c r="D301" i="7"/>
  <c r="B301" i="7"/>
  <c r="C303" i="7" l="1"/>
  <c r="D302" i="7"/>
  <c r="B302" i="7"/>
  <c r="C304" i="7" l="1"/>
  <c r="D303" i="7"/>
  <c r="B303" i="7"/>
  <c r="C305" i="7" l="1"/>
  <c r="D304" i="7"/>
  <c r="B304" i="7"/>
  <c r="C306" i="7" l="1"/>
  <c r="D305" i="7"/>
  <c r="B305" i="7"/>
  <c r="B306" i="7" l="1"/>
  <c r="D306" i="7"/>
</calcChain>
</file>

<file path=xl/sharedStrings.xml><?xml version="1.0" encoding="utf-8"?>
<sst xmlns="http://schemas.openxmlformats.org/spreadsheetml/2006/main" count="132" uniqueCount="108">
  <si>
    <t>Calculations and Measurements</t>
  </si>
  <si>
    <t>This document contains several formulas, calculations and measurements for the LedCube PCB with PIC microcontroller.</t>
  </si>
  <si>
    <t>Oscillator</t>
  </si>
  <si>
    <t>This sheet contains settings and definitions for the device's internal oscillator.</t>
  </si>
  <si>
    <t>UART</t>
  </si>
  <si>
    <t>This sheet contains calculations for the UART BRG register and baud rate error with graphs.</t>
  </si>
  <si>
    <t>Oscillator settings and frequency definitions.</t>
  </si>
  <si>
    <t>Calculations for the UART baud rate and baud rate error graphs at different baud rates.</t>
  </si>
  <si>
    <t>FOSC</t>
  </si>
  <si>
    <t>FRCDIV</t>
  </si>
  <si>
    <t>SYS_FREQ</t>
  </si>
  <si>
    <t>FCY</t>
  </si>
  <si>
    <t>VARIABLE</t>
  </si>
  <si>
    <t>VALUE</t>
  </si>
  <si>
    <t>UNIT</t>
  </si>
  <si>
    <t>Hz</t>
  </si>
  <si>
    <t>YES</t>
  </si>
  <si>
    <t>MHz</t>
  </si>
  <si>
    <t>DESCRIPTION</t>
  </si>
  <si>
    <t>Adjustable cell</t>
  </si>
  <si>
    <t>Internal oscillator frequency</t>
  </si>
  <si>
    <t>Whether the PLL module is enabled (in the configuration bits settings)</t>
  </si>
  <si>
    <t>FRC postscaler</t>
  </si>
  <si>
    <t>System frequency</t>
  </si>
  <si>
    <t>Instruction cycle frequency</t>
  </si>
  <si>
    <t>PLL enabled (YES/NO)</t>
  </si>
  <si>
    <t>Desired baud rate</t>
  </si>
  <si>
    <t>BRG register value</t>
  </si>
  <si>
    <t>Calculated baud rate</t>
  </si>
  <si>
    <t>Baud rate error</t>
  </si>
  <si>
    <t>baud</t>
  </si>
  <si>
    <t>High-Speed mode enabled (YES/NO)</t>
  </si>
  <si>
    <t>Whether High-Speed mode is enabled (UxMODEbits.BRGH register)</t>
  </si>
  <si>
    <t>Calculated BRG register value (rounded down)</t>
  </si>
  <si>
    <t>Calculated or actual baud rate</t>
  </si>
  <si>
    <t>Maximum baud rate error margins</t>
  </si>
  <si>
    <t>Warning</t>
  </si>
  <si>
    <t>Error</t>
  </si>
  <si>
    <t>above this value and beneath the error value produces an warning, but might still work</t>
  </si>
  <si>
    <t>above this value produces an error and will not work</t>
  </si>
  <si>
    <t>BRG</t>
  </si>
  <si>
    <t>baud rate error [%]</t>
  </si>
  <si>
    <t>calculated baud rate [baud]</t>
  </si>
  <si>
    <t>Desired baud rate [baud]</t>
  </si>
  <si>
    <t>Warning [%]</t>
  </si>
  <si>
    <t>Error [%]</t>
  </si>
  <si>
    <t>PIC24</t>
  </si>
  <si>
    <t>Password:</t>
  </si>
  <si>
    <t>Power measurements</t>
  </si>
  <si>
    <t>Colour</t>
  </si>
  <si>
    <t>Red</t>
  </si>
  <si>
    <t>[Description]</t>
  </si>
  <si>
    <t>[Title]</t>
  </si>
  <si>
    <t>[Tekst]</t>
  </si>
  <si>
    <t>Green</t>
  </si>
  <si>
    <t>Blue</t>
  </si>
  <si>
    <t>Red, blue</t>
  </si>
  <si>
    <t>Red, green</t>
  </si>
  <si>
    <t>Green, blue</t>
  </si>
  <si>
    <t>Red, green, blue</t>
  </si>
  <si>
    <t>Power [mA] (1 LED on)</t>
  </si>
  <si>
    <t>Power [mA] (64 LEDs on)</t>
  </si>
  <si>
    <t>Power [mA] (48 LEDs on)</t>
  </si>
  <si>
    <t>Power [mA] (32 LEDs on)</t>
  </si>
  <si>
    <t>Power [mA] (16 LEDs on)</t>
  </si>
  <si>
    <t>This sheet contains power measurements of the LedCube with different colours and different amounts of LEDs on.</t>
  </si>
  <si>
    <t>Power measurements of the LedCube</t>
  </si>
  <si>
    <t>Bit Angle Modulation</t>
  </si>
  <si>
    <t>This sheet contains theory and calculations for bit angle modulation (BAM).</t>
  </si>
  <si>
    <t>Binary</t>
  </si>
  <si>
    <t>Hex</t>
  </si>
  <si>
    <t>Decimal</t>
  </si>
  <si>
    <t>How much bits the BAM will be</t>
  </si>
  <si>
    <t>Bit Angle Modulation (BAM) for dimming the LEDs</t>
  </si>
  <si>
    <t>Min frequency</t>
  </si>
  <si>
    <t>Minimal frequency the LEDs need to be when the BAM-value is 1</t>
  </si>
  <si>
    <t>BAM-bits</t>
  </si>
  <si>
    <t>Stdint</t>
  </si>
  <si>
    <t>INT8_MIN</t>
  </si>
  <si>
    <t>INT8_MAX</t>
  </si>
  <si>
    <t>INT16_MIN</t>
  </si>
  <si>
    <t>UINT8_MAX</t>
  </si>
  <si>
    <t>INT16_MAX</t>
  </si>
  <si>
    <t>UINT16_MAX</t>
  </si>
  <si>
    <t>INT32_MAX</t>
  </si>
  <si>
    <t>INT32_MIN</t>
  </si>
  <si>
    <t>UINT32_MAX</t>
  </si>
  <si>
    <t>INT64_MIN</t>
  </si>
  <si>
    <t>INT64_MAX</t>
  </si>
  <si>
    <t>INTMAX_MAX</t>
  </si>
  <si>
    <t>INTMAX_MIN</t>
  </si>
  <si>
    <t>UINT64_MAX</t>
  </si>
  <si>
    <t>UINTMAX_MAX</t>
  </si>
  <si>
    <t>Delay</t>
  </si>
  <si>
    <t>This sheet contains calculations for the maximum delay values that can be used.</t>
  </si>
  <si>
    <t>Delay_s MAX</t>
  </si>
  <si>
    <t>Delay_ms MAX</t>
  </si>
  <si>
    <t>Delay_us MAX</t>
  </si>
  <si>
    <t>Cannot be displayed since Excel holds a max of 15 numbers.</t>
  </si>
  <si>
    <t>s</t>
  </si>
  <si>
    <t>ms</t>
  </si>
  <si>
    <t>us</t>
  </si>
  <si>
    <t>Maximum amount of seconds that can be delayed.</t>
  </si>
  <si>
    <t>Maximum amount of microseconds that can be delayed.</t>
  </si>
  <si>
    <t>Maximum amount of milliseconds that can be delayed.</t>
  </si>
  <si>
    <t>Calculations for the delay functions.</t>
  </si>
  <si>
    <t>Definitions for for the standard integer types per ISO/IEC 9899:1999.</t>
  </si>
  <si>
    <t>This sheet contains definitions for the standard integer types per ISO/IEC 9899:1999.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</si>
</sst>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/>
      <top style="hair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3" borderId="0" xfId="0" applyFont="1" applyFill="1" applyProtection="1"/>
    <xf numFmtId="0" fontId="2" fillId="2" borderId="0" xfId="0" applyFont="1" applyFill="1" applyProtection="1"/>
    <xf numFmtId="0" fontId="2" fillId="2" borderId="1" xfId="0" applyFont="1" applyFill="1" applyBorder="1"/>
    <xf numFmtId="0" fontId="2" fillId="2" borderId="1" xfId="0" applyFont="1" applyFill="1" applyBorder="1" applyProtection="1"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4" fillId="2" borderId="0" xfId="0" applyFont="1" applyFill="1" applyProtection="1"/>
    <xf numFmtId="0" fontId="2" fillId="2" borderId="0" xfId="0" applyFont="1" applyFill="1" applyBorder="1"/>
    <xf numFmtId="10" fontId="2" fillId="2" borderId="0" xfId="1" applyNumberFormat="1" applyFont="1" applyFill="1" applyProtection="1"/>
    <xf numFmtId="0" fontId="2" fillId="2" borderId="3" xfId="0" applyFont="1" applyFill="1" applyBorder="1" applyProtection="1"/>
    <xf numFmtId="0" fontId="4" fillId="2" borderId="0" xfId="0" applyFont="1" applyFill="1"/>
    <xf numFmtId="10" fontId="2" fillId="2" borderId="0" xfId="1" applyNumberFormat="1" applyFont="1" applyFill="1"/>
    <xf numFmtId="0" fontId="2" fillId="2" borderId="0" xfId="1" applyNumberFormat="1" applyFont="1" applyFill="1"/>
    <xf numFmtId="0" fontId="2" fillId="2" borderId="0" xfId="0" applyFont="1" applyFill="1" applyAlignment="1">
      <alignment wrapText="1"/>
    </xf>
    <xf numFmtId="0" fontId="5" fillId="2" borderId="0" xfId="0" applyFont="1" applyFill="1" applyProtection="1"/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right"/>
      <protection locked="0"/>
    </xf>
    <xf numFmtId="0" fontId="4" fillId="2" borderId="0" xfId="0" applyFont="1" applyFill="1" applyAlignment="1" applyProtection="1">
      <alignment horizontal="right" wrapText="1"/>
    </xf>
    <xf numFmtId="0" fontId="0" fillId="2" borderId="0" xfId="0" applyFill="1"/>
    <xf numFmtId="0" fontId="7" fillId="2" borderId="0" xfId="0" applyFont="1" applyFill="1"/>
    <xf numFmtId="0" fontId="0" fillId="2" borderId="0" xfId="0" applyFill="1" applyAlignment="1">
      <alignment horizontal="left"/>
    </xf>
    <xf numFmtId="0" fontId="2" fillId="2" borderId="1" xfId="0" applyFont="1" applyFill="1" applyBorder="1" applyAlignment="1" applyProtection="1"/>
    <xf numFmtId="1" fontId="2" fillId="2" borderId="0" xfId="0" applyNumberFormat="1" applyFont="1" applyFill="1" applyProtection="1"/>
    <xf numFmtId="0" fontId="2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 applyProtection="1">
      <alignment horizontal="left"/>
    </xf>
    <xf numFmtId="0" fontId="3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left"/>
    </xf>
    <xf numFmtId="0" fontId="2" fillId="2" borderId="2" xfId="0" applyFont="1" applyFill="1" applyBorder="1" applyAlignment="1" applyProtection="1">
      <alignment horizontal="left"/>
    </xf>
    <xf numFmtId="1" fontId="2" fillId="2" borderId="0" xfId="0" applyNumberFormat="1" applyFont="1" applyFill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left"/>
      <protection locked="0"/>
    </xf>
  </cellXfs>
  <cellStyles count="2">
    <cellStyle name="Normal" xfId="0" builtinId="0"/>
    <cellStyle name="Percent" xfId="1" builtinId="5"/>
  </cellStyles>
  <dxfs count="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F8F8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Baud rate (600-57600) vs baud rate error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UART!$E$22</c:f>
              <c:strCache>
                <c:ptCount val="1"/>
                <c:pt idx="0">
                  <c:v>baud rate error [%]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UART!$E$23:$E$36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2.0833333333333335E-4</c:v>
                </c:pt>
                <c:pt idx="4">
                  <c:v>1.5625000000000001E-3</c:v>
                </c:pt>
                <c:pt idx="5">
                  <c:v>2.7777777777777779E-3</c:v>
                </c:pt>
                <c:pt idx="6">
                  <c:v>1.5625000000000001E-3</c:v>
                </c:pt>
                <c:pt idx="7">
                  <c:v>6.4236111111111108E-3</c:v>
                </c:pt>
                <c:pt idx="8">
                  <c:v>1.5885416666666667E-3</c:v>
                </c:pt>
                <c:pt idx="9">
                  <c:v>6.0357142857142857E-3</c:v>
                </c:pt>
                <c:pt idx="10">
                  <c:v>6.4409722222222221E-3</c:v>
                </c:pt>
                <c:pt idx="11">
                  <c:v>2.1241319444444445E-2</c:v>
                </c:pt>
                <c:pt idx="12">
                  <c:v>8.0625000000000002E-3</c:v>
                </c:pt>
                <c:pt idx="13">
                  <c:v>4.1664062500000001E-2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2E-40E7-9E0E-F07A22EE5C9E}"/>
            </c:ext>
          </c:extLst>
        </c:ser>
        <c:ser>
          <c:idx val="1"/>
          <c:order val="1"/>
          <c:tx>
            <c:strRef>
              <c:f>UART!$F$22</c:f>
              <c:strCache>
                <c:ptCount val="1"/>
                <c:pt idx="0">
                  <c:v>Warning [%]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UART!$F$23:$F$36</c:f>
              <c:numCache>
                <c:formatCode>0.00%</c:formatCode>
                <c:ptCount val="14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2E-40E7-9E0E-F07A22EE5C9E}"/>
            </c:ext>
          </c:extLst>
        </c:ser>
        <c:ser>
          <c:idx val="2"/>
          <c:order val="2"/>
          <c:tx>
            <c:strRef>
              <c:f>UART!$G$22</c:f>
              <c:strCache>
                <c:ptCount val="1"/>
                <c:pt idx="0">
                  <c:v>Error [%]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UART!$G$23:$G$36</c:f>
              <c:numCache>
                <c:formatCode>0.00%</c:formatCode>
                <c:ptCount val="1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2E-40E7-9E0E-F07A22EE5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701312"/>
        <c:axId val="1715701856"/>
      </c:scatterChart>
      <c:valAx>
        <c:axId val="1715701312"/>
        <c:scaling>
          <c:orientation val="minMax"/>
          <c:max val="576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Desired baud rate [baud]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701856"/>
        <c:crosses val="autoZero"/>
        <c:crossBetween val="midCat"/>
      </c:valAx>
      <c:valAx>
        <c:axId val="171570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Baud rate error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701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Baud rate (57600-256000) vs baud rate error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UART!$E$22</c:f>
              <c:strCache>
                <c:ptCount val="1"/>
                <c:pt idx="0">
                  <c:v>baud rate error [%]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UART!$E$23:$E$36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2.0833333333333335E-4</c:v>
                </c:pt>
                <c:pt idx="4">
                  <c:v>1.5625000000000001E-3</c:v>
                </c:pt>
                <c:pt idx="5">
                  <c:v>2.7777777777777779E-3</c:v>
                </c:pt>
                <c:pt idx="6">
                  <c:v>1.5625000000000001E-3</c:v>
                </c:pt>
                <c:pt idx="7">
                  <c:v>6.4236111111111108E-3</c:v>
                </c:pt>
                <c:pt idx="8">
                  <c:v>1.5885416666666667E-3</c:v>
                </c:pt>
                <c:pt idx="9">
                  <c:v>6.0357142857142857E-3</c:v>
                </c:pt>
                <c:pt idx="10">
                  <c:v>6.4409722222222221E-3</c:v>
                </c:pt>
                <c:pt idx="11">
                  <c:v>2.1241319444444445E-2</c:v>
                </c:pt>
                <c:pt idx="12">
                  <c:v>8.0625000000000002E-3</c:v>
                </c:pt>
                <c:pt idx="13">
                  <c:v>4.1664062500000001E-2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F-4659-B6DB-AA40A00912C0}"/>
            </c:ext>
          </c:extLst>
        </c:ser>
        <c:ser>
          <c:idx val="1"/>
          <c:order val="1"/>
          <c:tx>
            <c:strRef>
              <c:f>UART!$F$22</c:f>
              <c:strCache>
                <c:ptCount val="1"/>
                <c:pt idx="0">
                  <c:v>Warning [%]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UART!$F$23:$F$36</c:f>
              <c:numCache>
                <c:formatCode>0.00%</c:formatCode>
                <c:ptCount val="14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DF-4659-B6DB-AA40A00912C0}"/>
            </c:ext>
          </c:extLst>
        </c:ser>
        <c:ser>
          <c:idx val="2"/>
          <c:order val="2"/>
          <c:tx>
            <c:strRef>
              <c:f>UART!$G$22</c:f>
              <c:strCache>
                <c:ptCount val="1"/>
                <c:pt idx="0">
                  <c:v>Error [%]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UART!$G$23:$G$36</c:f>
              <c:numCache>
                <c:formatCode>0.00%</c:formatCode>
                <c:ptCount val="1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DF-4659-B6DB-AA40A0091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572816"/>
        <c:axId val="1899844848"/>
      </c:scatterChart>
      <c:valAx>
        <c:axId val="1714572816"/>
        <c:scaling>
          <c:orientation val="minMax"/>
          <c:max val="260000"/>
          <c:min val="576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Desired baud rate [baud]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844848"/>
        <c:crosses val="autoZero"/>
        <c:crossBetween val="midCat"/>
      </c:valAx>
      <c:valAx>
        <c:axId val="189984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Baud rate error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4572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Single</a:t>
            </a:r>
            <a:r>
              <a:rPr lang="en-GB" baseline="0"/>
              <a:t> LED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'Power measurements'!$B$11</c:f>
              <c:strCache>
                <c:ptCount val="1"/>
                <c:pt idx="0">
                  <c:v>Red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measurements'!$C$11:$G$11</c:f>
              <c:numCache>
                <c:formatCode>General</c:formatCode>
                <c:ptCount val="5"/>
                <c:pt idx="0">
                  <c:v>19.7</c:v>
                </c:pt>
                <c:pt idx="1">
                  <c:v>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E0-4246-9291-8F9D13EC9AB6}"/>
            </c:ext>
          </c:extLst>
        </c:ser>
        <c:ser>
          <c:idx val="1"/>
          <c:order val="1"/>
          <c:tx>
            <c:strRef>
              <c:f>'Power measurements'!$B$12</c:f>
              <c:strCache>
                <c:ptCount val="1"/>
                <c:pt idx="0">
                  <c:v>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measurements'!$C$12:$G$12</c:f>
              <c:numCache>
                <c:formatCode>General</c:formatCode>
                <c:ptCount val="5"/>
                <c:pt idx="0">
                  <c:v>15.4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E0-4246-9291-8F9D13EC9AB6}"/>
            </c:ext>
          </c:extLst>
        </c:ser>
        <c:ser>
          <c:idx val="2"/>
          <c:order val="2"/>
          <c:tx>
            <c:strRef>
              <c:f>'Power measurements'!$B$13</c:f>
              <c:strCache>
                <c:ptCount val="1"/>
                <c:pt idx="0">
                  <c:v>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3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measurements'!$C$13:$G$13</c:f>
              <c:numCache>
                <c:formatCode>General</c:formatCode>
                <c:ptCount val="5"/>
                <c:pt idx="0">
                  <c:v>7.3</c:v>
                </c:pt>
                <c:pt idx="1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E0-4246-9291-8F9D13EC9AB6}"/>
            </c:ext>
          </c:extLst>
        </c:ser>
        <c:ser>
          <c:idx val="3"/>
          <c:order val="3"/>
          <c:tx>
            <c:strRef>
              <c:f>'Power measurements'!$B$14</c:f>
              <c:strCache>
                <c:ptCount val="1"/>
                <c:pt idx="0">
                  <c:v>Red,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measurements'!$C$14:$G$14</c:f>
              <c:numCache>
                <c:formatCode>General</c:formatCode>
                <c:ptCount val="5"/>
                <c:pt idx="0">
                  <c:v>26.2</c:v>
                </c:pt>
                <c:pt idx="1">
                  <c:v>440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E0-4246-9291-8F9D13EC9AB6}"/>
            </c:ext>
          </c:extLst>
        </c:ser>
        <c:ser>
          <c:idx val="4"/>
          <c:order val="4"/>
          <c:tx>
            <c:strRef>
              <c:f>'Power measurements'!$B$15</c:f>
              <c:strCache>
                <c:ptCount val="1"/>
                <c:pt idx="0">
                  <c:v>Red, 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5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measurements'!$C$15:$G$15</c:f>
              <c:numCache>
                <c:formatCode>General</c:formatCode>
                <c:ptCount val="5"/>
                <c:pt idx="0">
                  <c:v>34.1</c:v>
                </c:pt>
                <c:pt idx="1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E0-4246-9291-8F9D13EC9AB6}"/>
            </c:ext>
          </c:extLst>
        </c:ser>
        <c:ser>
          <c:idx val="5"/>
          <c:order val="5"/>
          <c:tx>
            <c:strRef>
              <c:f>'Power measurements'!$B$16</c:f>
              <c:strCache>
                <c:ptCount val="1"/>
                <c:pt idx="0">
                  <c:v>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6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measurements'!$C$16:$G$16</c:f>
              <c:numCache>
                <c:formatCode>General</c:formatCode>
                <c:ptCount val="5"/>
                <c:pt idx="0">
                  <c:v>22.2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E0-4246-9291-8F9D13EC9AB6}"/>
            </c:ext>
          </c:extLst>
        </c:ser>
        <c:ser>
          <c:idx val="6"/>
          <c:order val="6"/>
          <c:tx>
            <c:strRef>
              <c:f>'Power measurements'!$B$17</c:f>
              <c:strCache>
                <c:ptCount val="1"/>
                <c:pt idx="0">
                  <c:v>Red, 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lumMod val="60000"/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measurements'!$C$17:$G$17</c:f>
              <c:numCache>
                <c:formatCode>General</c:formatCode>
                <c:ptCount val="5"/>
                <c:pt idx="0">
                  <c:v>40.4</c:v>
                </c:pt>
                <c:pt idx="1">
                  <c:v>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E0-4246-9291-8F9D13EC9AB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8179664"/>
        <c:axId val="118193808"/>
      </c:scatterChart>
      <c:valAx>
        <c:axId val="118179664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#LEDs 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93808"/>
        <c:crosses val="autoZero"/>
        <c:crossBetween val="midCat"/>
        <c:majorUnit val="1"/>
      </c:valAx>
      <c:valAx>
        <c:axId val="118193808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[mA]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7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1-64 LEDs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'Power measurements'!$B$11</c:f>
              <c:strCache>
                <c:ptCount val="1"/>
                <c:pt idx="0">
                  <c:v>Red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measurements'!$C$11:$G$11</c:f>
              <c:numCache>
                <c:formatCode>General</c:formatCode>
                <c:ptCount val="5"/>
                <c:pt idx="0">
                  <c:v>19.7</c:v>
                </c:pt>
                <c:pt idx="1">
                  <c:v>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3-4FCF-9F31-BDADC2388938}"/>
            </c:ext>
          </c:extLst>
        </c:ser>
        <c:ser>
          <c:idx val="1"/>
          <c:order val="1"/>
          <c:tx>
            <c:strRef>
              <c:f>'Power measurements'!$B$12</c:f>
              <c:strCache>
                <c:ptCount val="1"/>
                <c:pt idx="0">
                  <c:v>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measurements'!$C$12:$G$12</c:f>
              <c:numCache>
                <c:formatCode>General</c:formatCode>
                <c:ptCount val="5"/>
                <c:pt idx="0">
                  <c:v>15.4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43-4FCF-9F31-BDADC2388938}"/>
            </c:ext>
          </c:extLst>
        </c:ser>
        <c:ser>
          <c:idx val="2"/>
          <c:order val="2"/>
          <c:tx>
            <c:strRef>
              <c:f>'Power measurements'!$B$13</c:f>
              <c:strCache>
                <c:ptCount val="1"/>
                <c:pt idx="0">
                  <c:v>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3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measurements'!$C$13:$G$13</c:f>
              <c:numCache>
                <c:formatCode>General</c:formatCode>
                <c:ptCount val="5"/>
                <c:pt idx="0">
                  <c:v>7.3</c:v>
                </c:pt>
                <c:pt idx="1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43-4FCF-9F31-BDADC2388938}"/>
            </c:ext>
          </c:extLst>
        </c:ser>
        <c:ser>
          <c:idx val="3"/>
          <c:order val="3"/>
          <c:tx>
            <c:strRef>
              <c:f>'Power measurements'!$B$14</c:f>
              <c:strCache>
                <c:ptCount val="1"/>
                <c:pt idx="0">
                  <c:v>Red,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measurements'!$C$14:$G$14</c:f>
              <c:numCache>
                <c:formatCode>General</c:formatCode>
                <c:ptCount val="5"/>
                <c:pt idx="0">
                  <c:v>26.2</c:v>
                </c:pt>
                <c:pt idx="1">
                  <c:v>440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3-4FCF-9F31-BDADC2388938}"/>
            </c:ext>
          </c:extLst>
        </c:ser>
        <c:ser>
          <c:idx val="4"/>
          <c:order val="4"/>
          <c:tx>
            <c:strRef>
              <c:f>'Power measurements'!$B$15</c:f>
              <c:strCache>
                <c:ptCount val="1"/>
                <c:pt idx="0">
                  <c:v>Red, 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5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measurements'!$C$15:$G$15</c:f>
              <c:numCache>
                <c:formatCode>General</c:formatCode>
                <c:ptCount val="5"/>
                <c:pt idx="0">
                  <c:v>34.1</c:v>
                </c:pt>
                <c:pt idx="1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43-4FCF-9F31-BDADC2388938}"/>
            </c:ext>
          </c:extLst>
        </c:ser>
        <c:ser>
          <c:idx val="5"/>
          <c:order val="5"/>
          <c:tx>
            <c:strRef>
              <c:f>'Power measurements'!$B$16</c:f>
              <c:strCache>
                <c:ptCount val="1"/>
                <c:pt idx="0">
                  <c:v>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6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measurements'!$C$16:$G$16</c:f>
              <c:numCache>
                <c:formatCode>General</c:formatCode>
                <c:ptCount val="5"/>
                <c:pt idx="0">
                  <c:v>22.2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43-4FCF-9F31-BDADC2388938}"/>
            </c:ext>
          </c:extLst>
        </c:ser>
        <c:ser>
          <c:idx val="6"/>
          <c:order val="6"/>
          <c:tx>
            <c:strRef>
              <c:f>'Power measurements'!$B$17</c:f>
              <c:strCache>
                <c:ptCount val="1"/>
                <c:pt idx="0">
                  <c:v>Red, 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lumMod val="60000"/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measurements'!$C$17:$G$17</c:f>
              <c:numCache>
                <c:formatCode>General</c:formatCode>
                <c:ptCount val="5"/>
                <c:pt idx="0">
                  <c:v>40.4</c:v>
                </c:pt>
                <c:pt idx="1">
                  <c:v>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3-4FCF-9F31-BDADC238893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8190544"/>
        <c:axId val="118187280"/>
      </c:scatterChart>
      <c:valAx>
        <c:axId val="118190544"/>
        <c:scaling>
          <c:orientation val="minMax"/>
          <c:max val="64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#LEDs 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87280"/>
        <c:crosses val="autoZero"/>
        <c:crossBetween val="midCat"/>
        <c:majorUnit val="16"/>
      </c:valAx>
      <c:valAx>
        <c:axId val="118187280"/>
        <c:scaling>
          <c:orientation val="minMax"/>
          <c:max val="275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[mA]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9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1-16 LEDs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'Power measurements'!$B$11</c:f>
              <c:strCache>
                <c:ptCount val="1"/>
                <c:pt idx="0">
                  <c:v>Red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measurements'!$C$11:$G$11</c:f>
              <c:numCache>
                <c:formatCode>General</c:formatCode>
                <c:ptCount val="5"/>
                <c:pt idx="0">
                  <c:v>19.7</c:v>
                </c:pt>
                <c:pt idx="1">
                  <c:v>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BA-47F0-AAC9-C251F391FF39}"/>
            </c:ext>
          </c:extLst>
        </c:ser>
        <c:ser>
          <c:idx val="1"/>
          <c:order val="1"/>
          <c:tx>
            <c:strRef>
              <c:f>'Power measurements'!$B$12</c:f>
              <c:strCache>
                <c:ptCount val="1"/>
                <c:pt idx="0">
                  <c:v>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measurements'!$C$12:$G$12</c:f>
              <c:numCache>
                <c:formatCode>General</c:formatCode>
                <c:ptCount val="5"/>
                <c:pt idx="0">
                  <c:v>15.4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BA-47F0-AAC9-C251F391FF39}"/>
            </c:ext>
          </c:extLst>
        </c:ser>
        <c:ser>
          <c:idx val="2"/>
          <c:order val="2"/>
          <c:tx>
            <c:strRef>
              <c:f>'Power measurements'!$B$13</c:f>
              <c:strCache>
                <c:ptCount val="1"/>
                <c:pt idx="0">
                  <c:v>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3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measurements'!$C$13:$G$13</c:f>
              <c:numCache>
                <c:formatCode>General</c:formatCode>
                <c:ptCount val="5"/>
                <c:pt idx="0">
                  <c:v>7.3</c:v>
                </c:pt>
                <c:pt idx="1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BA-47F0-AAC9-C251F391FF39}"/>
            </c:ext>
          </c:extLst>
        </c:ser>
        <c:ser>
          <c:idx val="3"/>
          <c:order val="3"/>
          <c:tx>
            <c:strRef>
              <c:f>'Power measurements'!$B$14</c:f>
              <c:strCache>
                <c:ptCount val="1"/>
                <c:pt idx="0">
                  <c:v>Red,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measurements'!$C$14:$G$14</c:f>
              <c:numCache>
                <c:formatCode>General</c:formatCode>
                <c:ptCount val="5"/>
                <c:pt idx="0">
                  <c:v>26.2</c:v>
                </c:pt>
                <c:pt idx="1">
                  <c:v>440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BA-47F0-AAC9-C251F391FF39}"/>
            </c:ext>
          </c:extLst>
        </c:ser>
        <c:ser>
          <c:idx val="4"/>
          <c:order val="4"/>
          <c:tx>
            <c:strRef>
              <c:f>'Power measurements'!$B$15</c:f>
              <c:strCache>
                <c:ptCount val="1"/>
                <c:pt idx="0">
                  <c:v>Red, 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5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measurements'!$C$15:$G$15</c:f>
              <c:numCache>
                <c:formatCode>General</c:formatCode>
                <c:ptCount val="5"/>
                <c:pt idx="0">
                  <c:v>34.1</c:v>
                </c:pt>
                <c:pt idx="1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BA-47F0-AAC9-C251F391FF39}"/>
            </c:ext>
          </c:extLst>
        </c:ser>
        <c:ser>
          <c:idx val="5"/>
          <c:order val="5"/>
          <c:tx>
            <c:strRef>
              <c:f>'Power measurements'!$B$16</c:f>
              <c:strCache>
                <c:ptCount val="1"/>
                <c:pt idx="0">
                  <c:v>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6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measurements'!$C$16:$G$16</c:f>
              <c:numCache>
                <c:formatCode>General</c:formatCode>
                <c:ptCount val="5"/>
                <c:pt idx="0">
                  <c:v>22.2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BA-47F0-AAC9-C251F391FF39}"/>
            </c:ext>
          </c:extLst>
        </c:ser>
        <c:ser>
          <c:idx val="6"/>
          <c:order val="6"/>
          <c:tx>
            <c:strRef>
              <c:f>'Power measurements'!$B$17</c:f>
              <c:strCache>
                <c:ptCount val="1"/>
                <c:pt idx="0">
                  <c:v>Red, 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lumMod val="60000"/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measurements'!$C$17:$G$17</c:f>
              <c:numCache>
                <c:formatCode>General</c:formatCode>
                <c:ptCount val="5"/>
                <c:pt idx="0">
                  <c:v>40.4</c:v>
                </c:pt>
                <c:pt idx="1">
                  <c:v>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BA-47F0-AAC9-C251F391FF3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8191632"/>
        <c:axId val="118185648"/>
      </c:scatterChart>
      <c:valAx>
        <c:axId val="118191632"/>
        <c:scaling>
          <c:orientation val="minMax"/>
          <c:max val="16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#LEDs 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85648"/>
        <c:crosses val="autoZero"/>
        <c:crossBetween val="midCat"/>
        <c:majorUnit val="1"/>
      </c:valAx>
      <c:valAx>
        <c:axId val="118185648"/>
        <c:scaling>
          <c:orientation val="minMax"/>
          <c:max val="65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[mA]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91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304800</xdr:colOff>
          <xdr:row>10</xdr:row>
          <xdr:rowOff>19050</xdr:rowOff>
        </xdr:to>
        <xdr:sp macro="" textlink="">
          <xdr:nvSpPr>
            <xdr:cNvPr id="1027" name="Button 3" descr="Back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Oscillator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304800</xdr:colOff>
          <xdr:row>12</xdr:row>
          <xdr:rowOff>19050</xdr:rowOff>
        </xdr:to>
        <xdr:sp macro="" textlink="">
          <xdr:nvSpPr>
            <xdr:cNvPr id="1029" name="Button 5" descr="Bac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UART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304800</xdr:colOff>
          <xdr:row>14</xdr:row>
          <xdr:rowOff>19050</xdr:rowOff>
        </xdr:to>
        <xdr:sp macro="" textlink="">
          <xdr:nvSpPr>
            <xdr:cNvPr id="1030" name="Button 6" descr="Bac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Power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304800</xdr:colOff>
          <xdr:row>16</xdr:row>
          <xdr:rowOff>19050</xdr:rowOff>
        </xdr:to>
        <xdr:sp macro="" textlink="">
          <xdr:nvSpPr>
            <xdr:cNvPr id="1031" name="Button 7" descr="Bac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304800</xdr:colOff>
          <xdr:row>18</xdr:row>
          <xdr:rowOff>19050</xdr:rowOff>
        </xdr:to>
        <xdr:sp macro="" textlink="">
          <xdr:nvSpPr>
            <xdr:cNvPr id="1032" name="Button 8" descr="Back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Stdint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304800</xdr:colOff>
          <xdr:row>20</xdr:row>
          <xdr:rowOff>19050</xdr:rowOff>
        </xdr:to>
        <xdr:sp macro="" textlink="">
          <xdr:nvSpPr>
            <xdr:cNvPr id="1033" name="Button 9" descr="Bac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Delay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2049" name="Button 1" descr="Bac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3073" name="Button 1" descr="Back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21</xdr:row>
      <xdr:rowOff>0</xdr:rowOff>
    </xdr:from>
    <xdr:to>
      <xdr:col>15</xdr:col>
      <xdr:colOff>533400</xdr:colOff>
      <xdr:row>39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21</xdr:row>
      <xdr:rowOff>0</xdr:rowOff>
    </xdr:from>
    <xdr:to>
      <xdr:col>23</xdr:col>
      <xdr:colOff>533400</xdr:colOff>
      <xdr:row>39</xdr:row>
      <xdr:rowOff>9525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6145" name="Button 1" descr="Back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0</xdr:rowOff>
    </xdr:from>
    <xdr:to>
      <xdr:col>21</xdr:col>
      <xdr:colOff>9525</xdr:colOff>
      <xdr:row>27</xdr:row>
      <xdr:rowOff>47625</xdr:rowOff>
    </xdr:to>
    <xdr:graphicFrame macro="">
      <xdr:nvGraphicFramePr>
        <xdr:cNvPr id="11" name="Grafiek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21</xdr:col>
      <xdr:colOff>0</xdr:colOff>
      <xdr:row>57</xdr:row>
      <xdr:rowOff>152400</xdr:rowOff>
    </xdr:to>
    <xdr:graphicFrame macro="">
      <xdr:nvGraphicFramePr>
        <xdr:cNvPr id="12" name="Grafiek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0</xdr:rowOff>
    </xdr:from>
    <xdr:to>
      <xdr:col>21</xdr:col>
      <xdr:colOff>0</xdr:colOff>
      <xdr:row>89</xdr:row>
      <xdr:rowOff>0</xdr:rowOff>
    </xdr:to>
    <xdr:graphicFrame macro="">
      <xdr:nvGraphicFramePr>
        <xdr:cNvPr id="13" name="Grafiek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8193" name="Button 1" descr="Back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10241" name="Button 1" descr="Back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11265" name="Button 1" descr="Back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5121" name="Button 1" descr="Back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0"/>
  <sheetViews>
    <sheetView workbookViewId="0">
      <selection activeCell="B2" sqref="B2:H4"/>
    </sheetView>
  </sheetViews>
  <sheetFormatPr defaultColWidth="9.140625" defaultRowHeight="12.75" x14ac:dyDescent="0.2"/>
  <cols>
    <col min="1" max="1" width="0.5703125" style="2" customWidth="1"/>
    <col min="2" max="16384" width="9.140625" style="1"/>
  </cols>
  <sheetData>
    <row r="1" spans="2:11" s="2" customFormat="1" ht="3" customHeight="1" x14ac:dyDescent="0.2"/>
    <row r="2" spans="2:11" ht="15" customHeight="1" x14ac:dyDescent="0.2">
      <c r="B2" s="30" t="s">
        <v>0</v>
      </c>
      <c r="C2" s="30"/>
      <c r="D2" s="30"/>
      <c r="E2" s="30"/>
      <c r="F2" s="30"/>
      <c r="G2" s="30"/>
      <c r="H2" s="30"/>
      <c r="J2" s="6"/>
      <c r="K2" s="1" t="s">
        <v>19</v>
      </c>
    </row>
    <row r="3" spans="2:11" ht="15" customHeight="1" x14ac:dyDescent="0.2">
      <c r="B3" s="30"/>
      <c r="C3" s="30"/>
      <c r="D3" s="30"/>
      <c r="E3" s="30"/>
      <c r="F3" s="30"/>
      <c r="G3" s="30"/>
      <c r="H3" s="30"/>
      <c r="J3" s="10" t="s">
        <v>47</v>
      </c>
      <c r="K3" s="17" t="s">
        <v>46</v>
      </c>
    </row>
    <row r="4" spans="2:11" ht="15" customHeight="1" x14ac:dyDescent="0.2">
      <c r="B4" s="30"/>
      <c r="C4" s="30"/>
      <c r="D4" s="30"/>
      <c r="E4" s="30"/>
      <c r="F4" s="30"/>
      <c r="G4" s="30"/>
      <c r="H4" s="30"/>
    </row>
    <row r="5" spans="2:11" x14ac:dyDescent="0.2">
      <c r="B5" s="31" t="s">
        <v>1</v>
      </c>
      <c r="C5" s="31"/>
      <c r="D5" s="31"/>
      <c r="E5" s="31"/>
      <c r="F5" s="31"/>
      <c r="G5" s="31"/>
      <c r="H5" s="31"/>
    </row>
    <row r="6" spans="2:11" x14ac:dyDescent="0.2">
      <c r="B6" s="31"/>
      <c r="C6" s="31"/>
      <c r="D6" s="31"/>
      <c r="E6" s="31"/>
      <c r="F6" s="31"/>
      <c r="G6" s="31"/>
      <c r="H6" s="31"/>
    </row>
    <row r="7" spans="2:11" x14ac:dyDescent="0.2">
      <c r="B7" s="31"/>
      <c r="C7" s="31"/>
      <c r="D7" s="31"/>
      <c r="E7" s="31"/>
      <c r="F7" s="31"/>
      <c r="G7" s="31"/>
      <c r="H7" s="31"/>
    </row>
    <row r="8" spans="2:11" ht="3.75" customHeight="1" x14ac:dyDescent="0.2"/>
    <row r="9" spans="2:11" ht="3.75" customHeight="1" x14ac:dyDescent="0.2"/>
    <row r="10" spans="2:11" x14ac:dyDescent="0.2">
      <c r="D10" s="29" t="s">
        <v>6</v>
      </c>
      <c r="E10" s="29"/>
      <c r="F10" s="29"/>
      <c r="G10" s="29"/>
      <c r="H10" s="29"/>
      <c r="I10" s="29"/>
      <c r="J10" s="29"/>
    </row>
    <row r="11" spans="2:11" x14ac:dyDescent="0.2">
      <c r="D11" s="29"/>
      <c r="E11" s="29"/>
      <c r="F11" s="29"/>
      <c r="G11" s="29"/>
      <c r="H11" s="29"/>
      <c r="I11" s="29"/>
      <c r="J11" s="29"/>
    </row>
    <row r="12" spans="2:11" x14ac:dyDescent="0.2">
      <c r="D12" s="29" t="s">
        <v>7</v>
      </c>
      <c r="E12" s="29"/>
      <c r="F12" s="29"/>
      <c r="G12" s="29"/>
      <c r="H12" s="29"/>
      <c r="I12" s="29"/>
      <c r="J12" s="29"/>
    </row>
    <row r="13" spans="2:11" x14ac:dyDescent="0.2">
      <c r="D13" s="29"/>
      <c r="E13" s="29"/>
      <c r="F13" s="29"/>
      <c r="G13" s="29"/>
      <c r="H13" s="29"/>
      <c r="I13" s="29"/>
      <c r="J13" s="29"/>
    </row>
    <row r="14" spans="2:11" x14ac:dyDescent="0.2">
      <c r="D14" s="1" t="s">
        <v>66</v>
      </c>
    </row>
    <row r="16" spans="2:11" x14ac:dyDescent="0.2">
      <c r="D16" s="1" t="s">
        <v>73</v>
      </c>
    </row>
    <row r="18" spans="4:4" x14ac:dyDescent="0.2">
      <c r="D18" s="1" t="s">
        <v>106</v>
      </c>
    </row>
    <row r="20" spans="4:4" x14ac:dyDescent="0.2">
      <c r="D20" s="1" t="s">
        <v>105</v>
      </c>
    </row>
  </sheetData>
  <sheetProtection algorithmName="SHA-512" hashValue="6kkbUTENwA4ZjArTx1FfFYN/j67duQQAkBbmeR7oWm3mUjj7gCKSNYc+J/0TXK/yYmTT1TFhexaNiHrg29M5Og==" saltValue="SCGr9hJ7qAmAiuhyMrPPDA==" spinCount="100000" sheet="1" objects="1" scenarios="1"/>
  <mergeCells count="4">
    <mergeCell ref="D12:J13"/>
    <mergeCell ref="B2:H4"/>
    <mergeCell ref="B5:H7"/>
    <mergeCell ref="D10:J11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oto_oscillator" altText="Back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304800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oto_uart" altText="Back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304800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goto_power" altText="Back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304800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goto_bam" altText="Back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304800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goto_stdint" altText="Back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304800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goto_delay" altText="Back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304800</xdr:colOff>
                    <xdr:row>20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5"/>
  <sheetViews>
    <sheetView workbookViewId="0">
      <selection activeCell="B2" sqref="B2:H4"/>
    </sheetView>
  </sheetViews>
  <sheetFormatPr defaultColWidth="9.140625" defaultRowHeight="12.75" x14ac:dyDescent="0.2"/>
  <cols>
    <col min="1" max="1" width="0.5703125" style="4" customWidth="1"/>
    <col min="2" max="16384" width="9.140625" style="5"/>
  </cols>
  <sheetData>
    <row r="1" spans="2:8" s="4" customFormat="1" ht="3" customHeight="1" x14ac:dyDescent="0.2"/>
    <row r="2" spans="2:8" ht="15" customHeight="1" x14ac:dyDescent="0.2">
      <c r="B2" s="33" t="s">
        <v>2</v>
      </c>
      <c r="C2" s="33"/>
      <c r="D2" s="33"/>
      <c r="E2" s="33"/>
      <c r="F2" s="33"/>
      <c r="G2" s="33"/>
      <c r="H2" s="33"/>
    </row>
    <row r="3" spans="2:8" ht="15" customHeight="1" x14ac:dyDescent="0.2">
      <c r="B3" s="33"/>
      <c r="C3" s="33"/>
      <c r="D3" s="33"/>
      <c r="E3" s="33"/>
      <c r="F3" s="33"/>
      <c r="G3" s="33"/>
      <c r="H3" s="33"/>
    </row>
    <row r="4" spans="2:8" ht="15" customHeight="1" x14ac:dyDescent="0.2">
      <c r="B4" s="33"/>
      <c r="C4" s="33"/>
      <c r="D4" s="33"/>
      <c r="E4" s="33"/>
      <c r="F4" s="33"/>
      <c r="G4" s="33"/>
      <c r="H4" s="33"/>
    </row>
    <row r="5" spans="2:8" x14ac:dyDescent="0.2">
      <c r="B5" s="34" t="s">
        <v>3</v>
      </c>
      <c r="C5" s="34"/>
      <c r="D5" s="34"/>
      <c r="E5" s="34"/>
      <c r="F5" s="34"/>
      <c r="G5" s="34"/>
      <c r="H5" s="34"/>
    </row>
    <row r="6" spans="2:8" x14ac:dyDescent="0.2">
      <c r="B6" s="34"/>
      <c r="C6" s="34"/>
      <c r="D6" s="34"/>
      <c r="E6" s="34"/>
      <c r="F6" s="34"/>
      <c r="G6" s="34"/>
      <c r="H6" s="34"/>
    </row>
    <row r="7" spans="2:8" x14ac:dyDescent="0.2">
      <c r="B7" s="34"/>
      <c r="C7" s="34"/>
      <c r="D7" s="34"/>
      <c r="E7" s="34"/>
      <c r="F7" s="34"/>
      <c r="G7" s="34"/>
      <c r="H7" s="34"/>
    </row>
    <row r="8" spans="2:8" ht="3.75" customHeight="1" x14ac:dyDescent="0.2"/>
    <row r="9" spans="2:8" ht="3.75" customHeight="1" x14ac:dyDescent="0.2"/>
    <row r="10" spans="2:8" x14ac:dyDescent="0.2">
      <c r="B10" s="35" t="s">
        <v>12</v>
      </c>
      <c r="C10" s="35"/>
      <c r="D10" s="9" t="s">
        <v>13</v>
      </c>
      <c r="E10" s="9" t="s">
        <v>14</v>
      </c>
      <c r="F10" s="9" t="s">
        <v>13</v>
      </c>
      <c r="G10" s="9" t="s">
        <v>14</v>
      </c>
      <c r="H10" s="9" t="s">
        <v>18</v>
      </c>
    </row>
    <row r="11" spans="2:8" x14ac:dyDescent="0.2">
      <c r="B11" s="32" t="s">
        <v>8</v>
      </c>
      <c r="C11" s="32"/>
      <c r="D11" s="7">
        <v>8000000</v>
      </c>
      <c r="E11" s="5" t="s">
        <v>15</v>
      </c>
      <c r="F11" s="5">
        <f>FOSC/1000000</f>
        <v>8</v>
      </c>
      <c r="G11" s="5" t="s">
        <v>17</v>
      </c>
      <c r="H11" s="5" t="s">
        <v>20</v>
      </c>
    </row>
    <row r="12" spans="2:8" x14ac:dyDescent="0.2">
      <c r="B12" s="32" t="s">
        <v>25</v>
      </c>
      <c r="C12" s="32"/>
      <c r="D12" s="8" t="s">
        <v>16</v>
      </c>
      <c r="H12" s="5" t="s">
        <v>21</v>
      </c>
    </row>
    <row r="13" spans="2:8" x14ac:dyDescent="0.2">
      <c r="B13" s="32" t="s">
        <v>9</v>
      </c>
      <c r="C13" s="32"/>
      <c r="D13" s="7">
        <v>1</v>
      </c>
      <c r="H13" s="5" t="s">
        <v>22</v>
      </c>
    </row>
    <row r="14" spans="2:8" x14ac:dyDescent="0.2">
      <c r="B14" s="32" t="s">
        <v>10</v>
      </c>
      <c r="C14" s="32"/>
      <c r="D14" s="5">
        <f>(FOSC*IF(EXACT(PLL_enabled,"YES"),4,1)/FRCDIV)</f>
        <v>32000000</v>
      </c>
      <c r="E14" s="5" t="s">
        <v>15</v>
      </c>
      <c r="F14" s="5">
        <f>SYS_FREQ/1000000</f>
        <v>32</v>
      </c>
      <c r="G14" s="5" t="s">
        <v>17</v>
      </c>
      <c r="H14" s="5" t="s">
        <v>23</v>
      </c>
    </row>
    <row r="15" spans="2:8" x14ac:dyDescent="0.2">
      <c r="B15" s="32" t="s">
        <v>11</v>
      </c>
      <c r="C15" s="32"/>
      <c r="D15" s="5">
        <f>SYS_FREQ/2</f>
        <v>16000000</v>
      </c>
      <c r="E15" s="5" t="s">
        <v>15</v>
      </c>
      <c r="F15" s="5">
        <f>FCY/1000000</f>
        <v>16</v>
      </c>
      <c r="G15" s="5" t="s">
        <v>17</v>
      </c>
      <c r="H15" s="5" t="s">
        <v>24</v>
      </c>
    </row>
  </sheetData>
  <sheetProtection algorithmName="SHA-512" hashValue="nMUDUUpHcpolj/+NGOdExtWr9K5263IKJcjjK3bFDbOGVEQVDdzrtRPYlCGhCQDxWumCsHG2/w1eVe5WQgIXzA==" saltValue="CGO0EljjT47Hd9ML7fGrQg==" spinCount="100000" sheet="1" objects="1" scenarios="1"/>
  <mergeCells count="8">
    <mergeCell ref="B12:C12"/>
    <mergeCell ref="B13:C13"/>
    <mergeCell ref="B14:C14"/>
    <mergeCell ref="B15:C15"/>
    <mergeCell ref="B2:H4"/>
    <mergeCell ref="B5:H7"/>
    <mergeCell ref="B10:C10"/>
    <mergeCell ref="B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36"/>
  <sheetViews>
    <sheetView workbookViewId="0">
      <selection activeCell="B2" sqref="B2:H4"/>
    </sheetView>
  </sheetViews>
  <sheetFormatPr defaultColWidth="9.140625" defaultRowHeight="12.75" x14ac:dyDescent="0.2"/>
  <cols>
    <col min="1" max="1" width="0.5703125" style="2" customWidth="1"/>
    <col min="2" max="16384" width="9.140625" style="1"/>
  </cols>
  <sheetData>
    <row r="1" spans="2:10" s="2" customFormat="1" ht="3" customHeight="1" x14ac:dyDescent="0.2"/>
    <row r="2" spans="2:10" ht="15" customHeight="1" x14ac:dyDescent="0.2">
      <c r="B2" s="30" t="s">
        <v>4</v>
      </c>
      <c r="C2" s="30"/>
      <c r="D2" s="30"/>
      <c r="E2" s="30"/>
      <c r="F2" s="30"/>
      <c r="G2" s="30"/>
      <c r="H2" s="30"/>
      <c r="J2" s="3"/>
    </row>
    <row r="3" spans="2:10" ht="15" customHeight="1" x14ac:dyDescent="0.2">
      <c r="B3" s="30"/>
      <c r="C3" s="30"/>
      <c r="D3" s="30"/>
      <c r="E3" s="30"/>
      <c r="F3" s="30"/>
      <c r="G3" s="30"/>
      <c r="H3" s="30"/>
    </row>
    <row r="4" spans="2:10" ht="15" customHeight="1" x14ac:dyDescent="0.2">
      <c r="B4" s="30"/>
      <c r="C4" s="30"/>
      <c r="D4" s="30"/>
      <c r="E4" s="30"/>
      <c r="F4" s="30"/>
      <c r="G4" s="30"/>
      <c r="H4" s="30"/>
    </row>
    <row r="5" spans="2:10" x14ac:dyDescent="0.2">
      <c r="B5" s="31" t="s">
        <v>5</v>
      </c>
      <c r="C5" s="31"/>
      <c r="D5" s="31"/>
      <c r="E5" s="31"/>
      <c r="F5" s="31"/>
      <c r="G5" s="31"/>
      <c r="H5" s="31"/>
    </row>
    <row r="6" spans="2:10" x14ac:dyDescent="0.2">
      <c r="B6" s="31"/>
      <c r="C6" s="31"/>
      <c r="D6" s="31"/>
      <c r="E6" s="31"/>
      <c r="F6" s="31"/>
      <c r="G6" s="31"/>
      <c r="H6" s="31"/>
    </row>
    <row r="7" spans="2:10" x14ac:dyDescent="0.2">
      <c r="B7" s="31"/>
      <c r="C7" s="31"/>
      <c r="D7" s="31"/>
      <c r="E7" s="31"/>
      <c r="F7" s="31"/>
      <c r="G7" s="31"/>
      <c r="H7" s="31"/>
    </row>
    <row r="8" spans="2:10" ht="3.75" customHeight="1" x14ac:dyDescent="0.2"/>
    <row r="9" spans="2:10" ht="3.75" customHeight="1" x14ac:dyDescent="0.2"/>
    <row r="10" spans="2:10" x14ac:dyDescent="0.2">
      <c r="B10" s="35" t="s">
        <v>12</v>
      </c>
      <c r="C10" s="35"/>
      <c r="E10" s="9" t="s">
        <v>13</v>
      </c>
      <c r="F10" s="9" t="s">
        <v>14</v>
      </c>
      <c r="G10" s="9"/>
      <c r="H10" s="9" t="s">
        <v>18</v>
      </c>
    </row>
    <row r="11" spans="2:10" x14ac:dyDescent="0.2">
      <c r="B11" s="32" t="s">
        <v>26</v>
      </c>
      <c r="C11" s="32"/>
      <c r="D11" s="36"/>
      <c r="E11" s="7">
        <v>115200</v>
      </c>
      <c r="F11" s="5" t="s">
        <v>30</v>
      </c>
      <c r="G11" s="5"/>
      <c r="H11" s="5"/>
    </row>
    <row r="12" spans="2:10" x14ac:dyDescent="0.2">
      <c r="B12" s="32" t="s">
        <v>31</v>
      </c>
      <c r="C12" s="32"/>
      <c r="D12" s="36"/>
      <c r="E12" s="8" t="s">
        <v>16</v>
      </c>
      <c r="F12" s="5"/>
      <c r="G12" s="5"/>
      <c r="H12" s="5" t="s">
        <v>32</v>
      </c>
    </row>
    <row r="13" spans="2:10" x14ac:dyDescent="0.2">
      <c r="B13" s="32" t="s">
        <v>27</v>
      </c>
      <c r="C13" s="32"/>
      <c r="D13" s="32"/>
      <c r="E13" s="12">
        <f>ROUNDDOWN((FCY/(IF(EXACT(UART_high_speed,"YES"),4,16)*UART_desired_BR))-1, 0)</f>
        <v>33</v>
      </c>
      <c r="F13" s="5"/>
      <c r="G13" s="5"/>
      <c r="H13" s="5" t="s">
        <v>33</v>
      </c>
    </row>
    <row r="14" spans="2:10" x14ac:dyDescent="0.2">
      <c r="B14" s="32" t="s">
        <v>28</v>
      </c>
      <c r="C14" s="32"/>
      <c r="D14" s="32"/>
      <c r="E14" s="5">
        <f>ROUNDDOWN(FCY/(IF(EXACT(UART_high_speed,"YES"),4,16)*(UART_BRG+1)),0)</f>
        <v>117647</v>
      </c>
      <c r="F14" s="5" t="s">
        <v>30</v>
      </c>
      <c r="G14" s="5"/>
      <c r="H14" s="5" t="s">
        <v>34</v>
      </c>
    </row>
    <row r="15" spans="2:10" x14ac:dyDescent="0.2">
      <c r="B15" s="32" t="s">
        <v>29</v>
      </c>
      <c r="C15" s="32"/>
      <c r="D15" s="32"/>
      <c r="E15" s="11">
        <f>(UART_calculated_BR-UART_desired_BR)/UART_desired_BR</f>
        <v>2.1241319444444445E-2</v>
      </c>
      <c r="F15" s="5"/>
      <c r="G15" s="5"/>
      <c r="H15" s="5"/>
    </row>
    <row r="17" spans="2:7" x14ac:dyDescent="0.2">
      <c r="B17" s="13" t="s">
        <v>35</v>
      </c>
    </row>
    <row r="18" spans="2:7" x14ac:dyDescent="0.2">
      <c r="B18" s="1" t="s">
        <v>36</v>
      </c>
      <c r="C18" s="14">
        <v>2.5000000000000001E-2</v>
      </c>
      <c r="D18" s="15" t="s">
        <v>38</v>
      </c>
    </row>
    <row r="19" spans="2:7" x14ac:dyDescent="0.2">
      <c r="B19" s="1" t="s">
        <v>37</v>
      </c>
      <c r="C19" s="14">
        <v>0.05</v>
      </c>
      <c r="D19" s="15" t="s">
        <v>39</v>
      </c>
    </row>
    <row r="22" spans="2:7" ht="37.5" customHeight="1" x14ac:dyDescent="0.2">
      <c r="B22" s="16" t="s">
        <v>43</v>
      </c>
      <c r="C22" s="16" t="s">
        <v>40</v>
      </c>
      <c r="D22" s="16" t="s">
        <v>42</v>
      </c>
      <c r="E22" s="16" t="s">
        <v>41</v>
      </c>
      <c r="F22" s="16" t="s">
        <v>44</v>
      </c>
      <c r="G22" s="16" t="s">
        <v>45</v>
      </c>
    </row>
    <row r="23" spans="2:7" x14ac:dyDescent="0.2">
      <c r="B23" s="1">
        <v>600</v>
      </c>
      <c r="C23" s="1">
        <f t="shared" ref="C23:C36" si="0">ROUNDDOWN((FCY/(IF(EXACT(UART_high_speed,"YES"),4,16)*$B23))-1, 0)</f>
        <v>6665</v>
      </c>
      <c r="D23" s="1">
        <f t="shared" ref="D23:D36" si="1">ROUNDDOWN(FCY/(IF(EXACT(UART_high_speed,"YES"),4,16)*($C23+1)),0)</f>
        <v>600</v>
      </c>
      <c r="E23" s="14">
        <f>($D23-$B23)/$B23</f>
        <v>0</v>
      </c>
      <c r="F23" s="14">
        <f t="shared" ref="F23:F36" si="2">UART_max_BRE_warning</f>
        <v>2.5000000000000001E-2</v>
      </c>
      <c r="G23" s="14">
        <f t="shared" ref="G23:G36" si="3">UART_max_BRE_error</f>
        <v>0.05</v>
      </c>
    </row>
    <row r="24" spans="2:7" x14ac:dyDescent="0.2">
      <c r="B24" s="1">
        <v>1200</v>
      </c>
      <c r="C24" s="1">
        <f t="shared" si="0"/>
        <v>3332</v>
      </c>
      <c r="D24" s="1">
        <f t="shared" si="1"/>
        <v>1200</v>
      </c>
      <c r="E24" s="14">
        <f t="shared" ref="E24:E36" si="4">($D24-$B24)/$B24</f>
        <v>0</v>
      </c>
      <c r="F24" s="14">
        <f t="shared" si="2"/>
        <v>2.5000000000000001E-2</v>
      </c>
      <c r="G24" s="14">
        <f t="shared" si="3"/>
        <v>0.05</v>
      </c>
    </row>
    <row r="25" spans="2:7" x14ac:dyDescent="0.2">
      <c r="B25" s="1">
        <v>2400</v>
      </c>
      <c r="C25" s="1">
        <f t="shared" si="0"/>
        <v>1665</v>
      </c>
      <c r="D25" s="1">
        <f t="shared" si="1"/>
        <v>2400</v>
      </c>
      <c r="E25" s="14">
        <f t="shared" si="4"/>
        <v>0</v>
      </c>
      <c r="F25" s="14">
        <f t="shared" si="2"/>
        <v>2.5000000000000001E-2</v>
      </c>
      <c r="G25" s="14">
        <f t="shared" si="3"/>
        <v>0.05</v>
      </c>
    </row>
    <row r="26" spans="2:7" x14ac:dyDescent="0.2">
      <c r="B26" s="1">
        <v>4800</v>
      </c>
      <c r="C26" s="1">
        <f t="shared" si="0"/>
        <v>832</v>
      </c>
      <c r="D26" s="1">
        <f t="shared" si="1"/>
        <v>4801</v>
      </c>
      <c r="E26" s="14">
        <f t="shared" si="4"/>
        <v>2.0833333333333335E-4</v>
      </c>
      <c r="F26" s="14">
        <f t="shared" si="2"/>
        <v>2.5000000000000001E-2</v>
      </c>
      <c r="G26" s="14">
        <f t="shared" si="3"/>
        <v>0.05</v>
      </c>
    </row>
    <row r="27" spans="2:7" x14ac:dyDescent="0.2">
      <c r="B27" s="1">
        <v>9600</v>
      </c>
      <c r="C27" s="1">
        <f t="shared" si="0"/>
        <v>415</v>
      </c>
      <c r="D27" s="1">
        <f t="shared" si="1"/>
        <v>9615</v>
      </c>
      <c r="E27" s="14">
        <f t="shared" si="4"/>
        <v>1.5625000000000001E-3</v>
      </c>
      <c r="F27" s="14">
        <f t="shared" si="2"/>
        <v>2.5000000000000001E-2</v>
      </c>
      <c r="G27" s="14">
        <f t="shared" si="3"/>
        <v>0.05</v>
      </c>
    </row>
    <row r="28" spans="2:7" x14ac:dyDescent="0.2">
      <c r="B28" s="1">
        <v>14400</v>
      </c>
      <c r="C28" s="1">
        <f t="shared" si="0"/>
        <v>276</v>
      </c>
      <c r="D28" s="1">
        <f t="shared" si="1"/>
        <v>14440</v>
      </c>
      <c r="E28" s="14">
        <f t="shared" si="4"/>
        <v>2.7777777777777779E-3</v>
      </c>
      <c r="F28" s="14">
        <f t="shared" si="2"/>
        <v>2.5000000000000001E-2</v>
      </c>
      <c r="G28" s="14">
        <f t="shared" si="3"/>
        <v>0.05</v>
      </c>
    </row>
    <row r="29" spans="2:7" x14ac:dyDescent="0.2">
      <c r="B29" s="1">
        <v>19200</v>
      </c>
      <c r="C29" s="1">
        <f t="shared" si="0"/>
        <v>207</v>
      </c>
      <c r="D29" s="1">
        <f t="shared" si="1"/>
        <v>19230</v>
      </c>
      <c r="E29" s="14">
        <f t="shared" si="4"/>
        <v>1.5625000000000001E-3</v>
      </c>
      <c r="F29" s="14">
        <f t="shared" si="2"/>
        <v>2.5000000000000001E-2</v>
      </c>
      <c r="G29" s="14">
        <f t="shared" si="3"/>
        <v>0.05</v>
      </c>
    </row>
    <row r="30" spans="2:7" x14ac:dyDescent="0.2">
      <c r="B30" s="1">
        <v>28800</v>
      </c>
      <c r="C30" s="1">
        <f t="shared" si="0"/>
        <v>137</v>
      </c>
      <c r="D30" s="1">
        <f t="shared" si="1"/>
        <v>28985</v>
      </c>
      <c r="E30" s="14">
        <f t="shared" si="4"/>
        <v>6.4236111111111108E-3</v>
      </c>
      <c r="F30" s="14">
        <f t="shared" si="2"/>
        <v>2.5000000000000001E-2</v>
      </c>
      <c r="G30" s="14">
        <f t="shared" si="3"/>
        <v>0.05</v>
      </c>
    </row>
    <row r="31" spans="2:7" x14ac:dyDescent="0.2">
      <c r="B31" s="1">
        <v>38400</v>
      </c>
      <c r="C31" s="1">
        <f t="shared" si="0"/>
        <v>103</v>
      </c>
      <c r="D31" s="1">
        <f t="shared" si="1"/>
        <v>38461</v>
      </c>
      <c r="E31" s="14">
        <f t="shared" si="4"/>
        <v>1.5885416666666667E-3</v>
      </c>
      <c r="F31" s="14">
        <f t="shared" si="2"/>
        <v>2.5000000000000001E-2</v>
      </c>
      <c r="G31" s="14">
        <f t="shared" si="3"/>
        <v>0.05</v>
      </c>
    </row>
    <row r="32" spans="2:7" x14ac:dyDescent="0.2">
      <c r="B32" s="1">
        <v>56000</v>
      </c>
      <c r="C32" s="1">
        <f t="shared" si="0"/>
        <v>70</v>
      </c>
      <c r="D32" s="1">
        <f t="shared" si="1"/>
        <v>56338</v>
      </c>
      <c r="E32" s="14">
        <f t="shared" si="4"/>
        <v>6.0357142857142857E-3</v>
      </c>
      <c r="F32" s="14">
        <f t="shared" si="2"/>
        <v>2.5000000000000001E-2</v>
      </c>
      <c r="G32" s="14">
        <f t="shared" si="3"/>
        <v>0.05</v>
      </c>
    </row>
    <row r="33" spans="2:7" x14ac:dyDescent="0.2">
      <c r="B33" s="1">
        <v>57600</v>
      </c>
      <c r="C33" s="1">
        <f t="shared" si="0"/>
        <v>68</v>
      </c>
      <c r="D33" s="1">
        <f t="shared" si="1"/>
        <v>57971</v>
      </c>
      <c r="E33" s="14">
        <f t="shared" si="4"/>
        <v>6.4409722222222221E-3</v>
      </c>
      <c r="F33" s="14">
        <f t="shared" si="2"/>
        <v>2.5000000000000001E-2</v>
      </c>
      <c r="G33" s="14">
        <f t="shared" si="3"/>
        <v>0.05</v>
      </c>
    </row>
    <row r="34" spans="2:7" x14ac:dyDescent="0.2">
      <c r="B34" s="1">
        <v>115200</v>
      </c>
      <c r="C34" s="1">
        <f t="shared" si="0"/>
        <v>33</v>
      </c>
      <c r="D34" s="1">
        <f t="shared" si="1"/>
        <v>117647</v>
      </c>
      <c r="E34" s="14">
        <f t="shared" si="4"/>
        <v>2.1241319444444445E-2</v>
      </c>
      <c r="F34" s="14">
        <f t="shared" si="2"/>
        <v>2.5000000000000001E-2</v>
      </c>
      <c r="G34" s="14">
        <f t="shared" si="3"/>
        <v>0.05</v>
      </c>
    </row>
    <row r="35" spans="2:7" x14ac:dyDescent="0.2">
      <c r="B35" s="1">
        <v>128000</v>
      </c>
      <c r="C35" s="1">
        <f t="shared" si="0"/>
        <v>30</v>
      </c>
      <c r="D35" s="1">
        <f t="shared" si="1"/>
        <v>129032</v>
      </c>
      <c r="E35" s="14">
        <f t="shared" si="4"/>
        <v>8.0625000000000002E-3</v>
      </c>
      <c r="F35" s="14">
        <f t="shared" si="2"/>
        <v>2.5000000000000001E-2</v>
      </c>
      <c r="G35" s="14">
        <f t="shared" si="3"/>
        <v>0.05</v>
      </c>
    </row>
    <row r="36" spans="2:7" x14ac:dyDescent="0.2">
      <c r="B36" s="1">
        <v>256000</v>
      </c>
      <c r="C36" s="1">
        <f t="shared" si="0"/>
        <v>14</v>
      </c>
      <c r="D36" s="1">
        <f t="shared" si="1"/>
        <v>266666</v>
      </c>
      <c r="E36" s="14">
        <f t="shared" si="4"/>
        <v>4.1664062500000001E-2</v>
      </c>
      <c r="F36" s="14">
        <f t="shared" si="2"/>
        <v>2.5000000000000001E-2</v>
      </c>
      <c r="G36" s="14">
        <f t="shared" si="3"/>
        <v>0.05</v>
      </c>
    </row>
  </sheetData>
  <sheetProtection algorithmName="SHA-512" hashValue="CdWrs/dJDCq6V0aXbKYmer/Fj1cWyfrHveJGWCvPncAZVIJQEsq5yO2eZ5CAEHjLuwf29kLE0vLMGKCGUCLfvw==" saltValue="TyMrQOP37XQqTa4K9bjstw==" spinCount="100000" sheet="1" objects="1" scenarios="1"/>
  <mergeCells count="8">
    <mergeCell ref="B13:D13"/>
    <mergeCell ref="B14:D14"/>
    <mergeCell ref="B15:D15"/>
    <mergeCell ref="B2:H4"/>
    <mergeCell ref="B5:H7"/>
    <mergeCell ref="B10:C10"/>
    <mergeCell ref="B12:D12"/>
    <mergeCell ref="B11:D11"/>
  </mergeCells>
  <conditionalFormatting sqref="E15 E23:E36">
    <cfRule type="cellIs" dxfId="1" priority="1" operator="greaterThanOrEqual">
      <formula>$C$19</formula>
    </cfRule>
    <cfRule type="cellIs" dxfId="0" priority="2" operator="greaterThanOrEqual">
      <formula>$C$18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7"/>
  <sheetViews>
    <sheetView workbookViewId="0">
      <selection activeCell="B2" sqref="B2:H4"/>
    </sheetView>
  </sheetViews>
  <sheetFormatPr defaultColWidth="9.140625" defaultRowHeight="12.75" x14ac:dyDescent="0.2"/>
  <cols>
    <col min="1" max="1" width="0.5703125" style="4" customWidth="1"/>
    <col min="2" max="16384" width="9.140625" style="5"/>
  </cols>
  <sheetData>
    <row r="1" spans="2:8" s="4" customFormat="1" ht="3" customHeight="1" x14ac:dyDescent="0.2"/>
    <row r="2" spans="2:8" ht="15" customHeight="1" x14ac:dyDescent="0.2">
      <c r="B2" s="33" t="s">
        <v>48</v>
      </c>
      <c r="C2" s="33"/>
      <c r="D2" s="33"/>
      <c r="E2" s="33"/>
      <c r="F2" s="33"/>
      <c r="G2" s="33"/>
      <c r="H2" s="33"/>
    </row>
    <row r="3" spans="2:8" ht="15" customHeight="1" x14ac:dyDescent="0.2">
      <c r="B3" s="33"/>
      <c r="C3" s="33"/>
      <c r="D3" s="33"/>
      <c r="E3" s="33"/>
      <c r="F3" s="33"/>
      <c r="G3" s="33"/>
      <c r="H3" s="33"/>
    </row>
    <row r="4" spans="2:8" ht="15" customHeight="1" x14ac:dyDescent="0.2">
      <c r="B4" s="33"/>
      <c r="C4" s="33"/>
      <c r="D4" s="33"/>
      <c r="E4" s="33"/>
      <c r="F4" s="33"/>
      <c r="G4" s="33"/>
      <c r="H4" s="33"/>
    </row>
    <row r="5" spans="2:8" ht="12.75" customHeight="1" x14ac:dyDescent="0.2">
      <c r="B5" s="34" t="s">
        <v>65</v>
      </c>
      <c r="C5" s="34"/>
      <c r="D5" s="34"/>
      <c r="E5" s="34"/>
      <c r="F5" s="34"/>
      <c r="G5" s="34"/>
      <c r="H5" s="34"/>
    </row>
    <row r="6" spans="2:8" x14ac:dyDescent="0.2">
      <c r="B6" s="34"/>
      <c r="C6" s="34"/>
      <c r="D6" s="34"/>
      <c r="E6" s="34"/>
      <c r="F6" s="34"/>
      <c r="G6" s="34"/>
      <c r="H6" s="34"/>
    </row>
    <row r="7" spans="2:8" x14ac:dyDescent="0.2">
      <c r="B7" s="34"/>
      <c r="C7" s="34"/>
      <c r="D7" s="34"/>
      <c r="E7" s="34"/>
      <c r="F7" s="34"/>
      <c r="G7" s="34"/>
      <c r="H7" s="34"/>
    </row>
    <row r="8" spans="2:8" ht="3.75" customHeight="1" x14ac:dyDescent="0.2"/>
    <row r="9" spans="2:8" ht="3.75" customHeight="1" x14ac:dyDescent="0.2"/>
    <row r="10" spans="2:8" ht="38.25" x14ac:dyDescent="0.2">
      <c r="B10" s="18" t="s">
        <v>49</v>
      </c>
      <c r="C10" s="23" t="s">
        <v>60</v>
      </c>
      <c r="D10" s="23" t="s">
        <v>64</v>
      </c>
      <c r="E10" s="23" t="s">
        <v>63</v>
      </c>
      <c r="F10" s="23" t="s">
        <v>62</v>
      </c>
      <c r="G10" s="23" t="s">
        <v>61</v>
      </c>
    </row>
    <row r="11" spans="2:8" x14ac:dyDescent="0.2">
      <c r="B11" s="19" t="s">
        <v>50</v>
      </c>
      <c r="C11" s="19">
        <v>19.7</v>
      </c>
      <c r="D11" s="20">
        <v>310</v>
      </c>
    </row>
    <row r="12" spans="2:8" x14ac:dyDescent="0.2">
      <c r="B12" s="19" t="s">
        <v>54</v>
      </c>
      <c r="C12" s="19">
        <v>15.4</v>
      </c>
      <c r="D12" s="22">
        <v>200</v>
      </c>
    </row>
    <row r="13" spans="2:8" x14ac:dyDescent="0.2">
      <c r="B13" s="19" t="s">
        <v>55</v>
      </c>
      <c r="C13" s="19">
        <v>7.3</v>
      </c>
      <c r="D13" s="20">
        <v>130</v>
      </c>
    </row>
    <row r="14" spans="2:8" x14ac:dyDescent="0.2">
      <c r="B14" s="19" t="s">
        <v>56</v>
      </c>
      <c r="C14" s="19">
        <v>26.2</v>
      </c>
      <c r="D14" s="5">
        <v>440</v>
      </c>
    </row>
    <row r="15" spans="2:8" x14ac:dyDescent="0.2">
      <c r="B15" s="19" t="s">
        <v>57</v>
      </c>
      <c r="C15" s="19">
        <v>34.1</v>
      </c>
      <c r="D15" s="5">
        <v>510</v>
      </c>
    </row>
    <row r="16" spans="2:8" x14ac:dyDescent="0.2">
      <c r="B16" s="5" t="s">
        <v>58</v>
      </c>
      <c r="C16" s="5">
        <v>22.2</v>
      </c>
      <c r="D16" s="5">
        <v>330</v>
      </c>
    </row>
    <row r="17" spans="2:4" x14ac:dyDescent="0.2">
      <c r="B17" s="5" t="s">
        <v>59</v>
      </c>
      <c r="C17" s="5">
        <v>40.4</v>
      </c>
      <c r="D17" s="5">
        <v>630</v>
      </c>
    </row>
  </sheetData>
  <sheetProtection algorithmName="SHA-512" hashValue="m9vXNx5B0U+6peDfELAUl2VPQ0TACuvORjf5N4hbNa2oZ6eDz8KsntzeFAV1o1qQl2ZqnPhurVnGthtPg/WgBg==" saltValue="kzS9cTx5G+v3f/Dshq6JQw==" spinCount="100000" sheet="1" objects="1" scenarios="1"/>
  <mergeCells count="2">
    <mergeCell ref="B2:H4"/>
    <mergeCell ref="B5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311"/>
  <sheetViews>
    <sheetView workbookViewId="0">
      <selection activeCell="B2" sqref="B2:H4"/>
    </sheetView>
  </sheetViews>
  <sheetFormatPr defaultColWidth="9.140625" defaultRowHeight="12.75" x14ac:dyDescent="0.2"/>
  <cols>
    <col min="1" max="1" width="0.5703125" style="4" customWidth="1"/>
    <col min="2" max="19" width="9.140625" style="5"/>
    <col min="20" max="20" width="11" style="5" bestFit="1" customWidth="1"/>
    <col min="21" max="16384" width="9.140625" style="5"/>
  </cols>
  <sheetData>
    <row r="1" spans="2:8" s="4" customFormat="1" ht="3" customHeight="1" x14ac:dyDescent="0.2"/>
    <row r="2" spans="2:8" ht="15" customHeight="1" x14ac:dyDescent="0.2">
      <c r="B2" s="33" t="s">
        <v>67</v>
      </c>
      <c r="C2" s="33"/>
      <c r="D2" s="33"/>
      <c r="E2" s="33"/>
      <c r="F2" s="33"/>
      <c r="G2" s="33"/>
      <c r="H2" s="33"/>
    </row>
    <row r="3" spans="2:8" ht="15" customHeight="1" x14ac:dyDescent="0.2">
      <c r="B3" s="33"/>
      <c r="C3" s="33"/>
      <c r="D3" s="33"/>
      <c r="E3" s="33"/>
      <c r="F3" s="33"/>
      <c r="G3" s="33"/>
      <c r="H3" s="33"/>
    </row>
    <row r="4" spans="2:8" ht="15" customHeight="1" x14ac:dyDescent="0.2">
      <c r="B4" s="33"/>
      <c r="C4" s="33"/>
      <c r="D4" s="33"/>
      <c r="E4" s="33"/>
      <c r="F4" s="33"/>
      <c r="G4" s="33"/>
      <c r="H4" s="33"/>
    </row>
    <row r="5" spans="2:8" x14ac:dyDescent="0.2">
      <c r="B5" s="34" t="s">
        <v>68</v>
      </c>
      <c r="C5" s="34"/>
      <c r="D5" s="34"/>
      <c r="E5" s="34"/>
      <c r="F5" s="34"/>
      <c r="G5" s="34"/>
      <c r="H5" s="34"/>
    </row>
    <row r="6" spans="2:8" x14ac:dyDescent="0.2">
      <c r="B6" s="34"/>
      <c r="C6" s="34"/>
      <c r="D6" s="34"/>
      <c r="E6" s="34"/>
      <c r="F6" s="34"/>
      <c r="G6" s="34"/>
      <c r="H6" s="34"/>
    </row>
    <row r="7" spans="2:8" x14ac:dyDescent="0.2">
      <c r="B7" s="34"/>
      <c r="C7" s="34"/>
      <c r="D7" s="34"/>
      <c r="E7" s="34"/>
      <c r="F7" s="34"/>
      <c r="G7" s="34"/>
      <c r="H7" s="34"/>
    </row>
    <row r="8" spans="2:8" ht="3.75" customHeight="1" x14ac:dyDescent="0.2"/>
    <row r="9" spans="2:8" ht="3.75" customHeight="1" x14ac:dyDescent="0.2"/>
    <row r="10" spans="2:8" x14ac:dyDescent="0.2">
      <c r="B10" s="18" t="s">
        <v>12</v>
      </c>
      <c r="D10" s="18" t="s">
        <v>13</v>
      </c>
      <c r="E10" s="9" t="s">
        <v>14</v>
      </c>
      <c r="F10" s="9" t="s">
        <v>18</v>
      </c>
    </row>
    <row r="11" spans="2:8" x14ac:dyDescent="0.2">
      <c r="B11" s="32" t="s">
        <v>76</v>
      </c>
      <c r="C11" s="36"/>
      <c r="D11" s="27">
        <v>4</v>
      </c>
      <c r="E11" s="20"/>
      <c r="F11" s="5" t="s">
        <v>72</v>
      </c>
    </row>
    <row r="12" spans="2:8" x14ac:dyDescent="0.2">
      <c r="B12" s="32" t="s">
        <v>74</v>
      </c>
      <c r="C12" s="32"/>
      <c r="D12" s="22">
        <v>60</v>
      </c>
      <c r="E12" s="5" t="s">
        <v>15</v>
      </c>
      <c r="F12" s="5" t="s">
        <v>75</v>
      </c>
    </row>
    <row r="13" spans="2:8" x14ac:dyDescent="0.2">
      <c r="B13" s="19"/>
      <c r="C13" s="19"/>
      <c r="D13" s="20"/>
    </row>
    <row r="14" spans="2:8" x14ac:dyDescent="0.2">
      <c r="B14" s="19"/>
      <c r="C14" s="19"/>
    </row>
    <row r="15" spans="2:8" x14ac:dyDescent="0.2">
      <c r="B15" s="19"/>
      <c r="C15" s="19"/>
    </row>
    <row r="50" spans="2:8" ht="15" x14ac:dyDescent="0.25">
      <c r="B50" s="25" t="s">
        <v>69</v>
      </c>
      <c r="C50" s="25" t="s">
        <v>71</v>
      </c>
      <c r="D50" s="25" t="s">
        <v>70</v>
      </c>
      <c r="E50" s="24"/>
      <c r="F50" s="24"/>
      <c r="G50" s="24"/>
      <c r="H50" s="24"/>
    </row>
    <row r="51" spans="2:8" ht="15" x14ac:dyDescent="0.25">
      <c r="B51" s="26" t="str">
        <f t="shared" ref="B51:B114" si="0">DEC2BIN(C51,BAM_bits)</f>
        <v>0000</v>
      </c>
      <c r="C51" s="26">
        <v>0</v>
      </c>
      <c r="D51" s="26" t="str">
        <f>DEC2HEX(C51)</f>
        <v>0</v>
      </c>
      <c r="E51" s="24"/>
      <c r="F51" s="24"/>
      <c r="G51" s="24"/>
      <c r="H51" s="24"/>
    </row>
    <row r="52" spans="2:8" ht="15" x14ac:dyDescent="0.25">
      <c r="B52" s="26" t="str">
        <f t="shared" si="0"/>
        <v>0001</v>
      </c>
      <c r="C52" s="26">
        <v>1</v>
      </c>
      <c r="D52" s="26" t="str">
        <f t="shared" ref="D52:D115" si="1">DEC2HEX(C52)</f>
        <v>1</v>
      </c>
      <c r="E52" s="24"/>
      <c r="F52" s="24"/>
      <c r="G52" s="24"/>
      <c r="H52" s="24"/>
    </row>
    <row r="53" spans="2:8" ht="15" x14ac:dyDescent="0.25">
      <c r="B53" s="26" t="str">
        <f t="shared" si="0"/>
        <v>0010</v>
      </c>
      <c r="C53" s="26">
        <f t="shared" ref="C53:C116" si="2">IF(C52=0,0,IF(POWER(2,BAM_bits)-1&gt;C52,C52+1,0))</f>
        <v>2</v>
      </c>
      <c r="D53" s="26" t="str">
        <f t="shared" si="1"/>
        <v>2</v>
      </c>
      <c r="E53" s="24"/>
      <c r="F53" s="24"/>
      <c r="G53" s="24"/>
      <c r="H53" s="24"/>
    </row>
    <row r="54" spans="2:8" ht="15" x14ac:dyDescent="0.25">
      <c r="B54" s="26" t="str">
        <f t="shared" si="0"/>
        <v>0011</v>
      </c>
      <c r="C54" s="26">
        <f t="shared" si="2"/>
        <v>3</v>
      </c>
      <c r="D54" s="26" t="str">
        <f t="shared" si="1"/>
        <v>3</v>
      </c>
      <c r="E54" s="24"/>
      <c r="F54" s="24"/>
      <c r="G54" s="24"/>
      <c r="H54" s="24"/>
    </row>
    <row r="55" spans="2:8" ht="15" x14ac:dyDescent="0.25">
      <c r="B55" s="26" t="str">
        <f t="shared" si="0"/>
        <v>0100</v>
      </c>
      <c r="C55" s="26">
        <f t="shared" si="2"/>
        <v>4</v>
      </c>
      <c r="D55" s="26" t="str">
        <f t="shared" si="1"/>
        <v>4</v>
      </c>
      <c r="E55" s="24"/>
      <c r="F55" s="24"/>
      <c r="G55" s="24"/>
      <c r="H55" s="24"/>
    </row>
    <row r="56" spans="2:8" ht="15" x14ac:dyDescent="0.25">
      <c r="B56" s="26" t="str">
        <f t="shared" si="0"/>
        <v>0101</v>
      </c>
      <c r="C56" s="26">
        <f t="shared" si="2"/>
        <v>5</v>
      </c>
      <c r="D56" s="26" t="str">
        <f t="shared" si="1"/>
        <v>5</v>
      </c>
      <c r="E56" s="24"/>
      <c r="F56" s="24"/>
      <c r="G56" s="24"/>
      <c r="H56" s="24"/>
    </row>
    <row r="57" spans="2:8" ht="15" x14ac:dyDescent="0.25">
      <c r="B57" s="26" t="str">
        <f t="shared" si="0"/>
        <v>0110</v>
      </c>
      <c r="C57" s="26">
        <f t="shared" si="2"/>
        <v>6</v>
      </c>
      <c r="D57" s="26" t="str">
        <f t="shared" si="1"/>
        <v>6</v>
      </c>
      <c r="E57" s="24"/>
      <c r="F57" s="24"/>
      <c r="G57" s="24"/>
      <c r="H57" s="24"/>
    </row>
    <row r="58" spans="2:8" ht="15" x14ac:dyDescent="0.25">
      <c r="B58" s="26" t="str">
        <f t="shared" si="0"/>
        <v>0111</v>
      </c>
      <c r="C58" s="26">
        <f t="shared" si="2"/>
        <v>7</v>
      </c>
      <c r="D58" s="26" t="str">
        <f t="shared" si="1"/>
        <v>7</v>
      </c>
      <c r="E58" s="24"/>
      <c r="F58" s="24"/>
      <c r="G58" s="24"/>
      <c r="H58" s="24"/>
    </row>
    <row r="59" spans="2:8" ht="15" x14ac:dyDescent="0.25">
      <c r="B59" s="26" t="str">
        <f t="shared" si="0"/>
        <v>1000</v>
      </c>
      <c r="C59" s="26">
        <f t="shared" si="2"/>
        <v>8</v>
      </c>
      <c r="D59" s="26" t="str">
        <f t="shared" si="1"/>
        <v>8</v>
      </c>
      <c r="E59" s="24"/>
      <c r="F59" s="24"/>
      <c r="G59" s="24"/>
      <c r="H59" s="24"/>
    </row>
    <row r="60" spans="2:8" ht="15" x14ac:dyDescent="0.25">
      <c r="B60" s="26" t="str">
        <f t="shared" si="0"/>
        <v>1001</v>
      </c>
      <c r="C60" s="26">
        <f t="shared" si="2"/>
        <v>9</v>
      </c>
      <c r="D60" s="26" t="str">
        <f t="shared" si="1"/>
        <v>9</v>
      </c>
      <c r="E60" s="24"/>
      <c r="F60" s="24"/>
      <c r="G60" s="24"/>
      <c r="H60" s="24"/>
    </row>
    <row r="61" spans="2:8" ht="15" x14ac:dyDescent="0.25">
      <c r="B61" s="26" t="str">
        <f t="shared" si="0"/>
        <v>1010</v>
      </c>
      <c r="C61" s="26">
        <f t="shared" si="2"/>
        <v>10</v>
      </c>
      <c r="D61" s="26" t="str">
        <f t="shared" si="1"/>
        <v>A</v>
      </c>
      <c r="E61" s="24"/>
      <c r="F61" s="24"/>
      <c r="G61" s="24"/>
      <c r="H61" s="24"/>
    </row>
    <row r="62" spans="2:8" ht="15" x14ac:dyDescent="0.25">
      <c r="B62" s="26" t="str">
        <f t="shared" si="0"/>
        <v>1011</v>
      </c>
      <c r="C62" s="26">
        <f t="shared" si="2"/>
        <v>11</v>
      </c>
      <c r="D62" s="26" t="str">
        <f t="shared" si="1"/>
        <v>B</v>
      </c>
      <c r="E62" s="24"/>
      <c r="F62" s="24"/>
      <c r="G62" s="24"/>
      <c r="H62" s="24"/>
    </row>
    <row r="63" spans="2:8" ht="15" x14ac:dyDescent="0.25">
      <c r="B63" s="26" t="str">
        <f t="shared" si="0"/>
        <v>1100</v>
      </c>
      <c r="C63" s="26">
        <f t="shared" si="2"/>
        <v>12</v>
      </c>
      <c r="D63" s="26" t="str">
        <f t="shared" si="1"/>
        <v>C</v>
      </c>
      <c r="E63" s="24"/>
      <c r="F63" s="24"/>
      <c r="G63" s="24"/>
      <c r="H63" s="24"/>
    </row>
    <row r="64" spans="2:8" ht="15" x14ac:dyDescent="0.25">
      <c r="B64" s="26" t="str">
        <f t="shared" si="0"/>
        <v>1101</v>
      </c>
      <c r="C64" s="26">
        <f t="shared" si="2"/>
        <v>13</v>
      </c>
      <c r="D64" s="26" t="str">
        <f t="shared" si="1"/>
        <v>D</v>
      </c>
      <c r="E64" s="24"/>
      <c r="F64" s="24"/>
      <c r="G64" s="24"/>
      <c r="H64" s="24"/>
    </row>
    <row r="65" spans="2:8" ht="15" x14ac:dyDescent="0.25">
      <c r="B65" s="26" t="str">
        <f t="shared" si="0"/>
        <v>1110</v>
      </c>
      <c r="C65" s="26">
        <f t="shared" si="2"/>
        <v>14</v>
      </c>
      <c r="D65" s="26" t="str">
        <f t="shared" si="1"/>
        <v>E</v>
      </c>
      <c r="E65" s="24"/>
      <c r="F65" s="24"/>
      <c r="G65" s="24"/>
      <c r="H65" s="24"/>
    </row>
    <row r="66" spans="2:8" ht="15" x14ac:dyDescent="0.25">
      <c r="B66" s="26" t="str">
        <f t="shared" si="0"/>
        <v>1111</v>
      </c>
      <c r="C66" s="26">
        <f t="shared" si="2"/>
        <v>15</v>
      </c>
      <c r="D66" s="26" t="str">
        <f t="shared" si="1"/>
        <v>F</v>
      </c>
      <c r="E66" s="24"/>
      <c r="F66" s="24"/>
      <c r="G66" s="24"/>
      <c r="H66" s="24"/>
    </row>
    <row r="67" spans="2:8" ht="15" x14ac:dyDescent="0.25">
      <c r="B67" s="26" t="str">
        <f t="shared" si="0"/>
        <v>0000</v>
      </c>
      <c r="C67" s="26">
        <f t="shared" si="2"/>
        <v>0</v>
      </c>
      <c r="D67" s="26" t="str">
        <f t="shared" si="1"/>
        <v>0</v>
      </c>
      <c r="E67" s="24"/>
      <c r="F67" s="24"/>
      <c r="G67" s="24"/>
      <c r="H67" s="24"/>
    </row>
    <row r="68" spans="2:8" ht="15" x14ac:dyDescent="0.25">
      <c r="B68" s="26" t="str">
        <f t="shared" si="0"/>
        <v>0000</v>
      </c>
      <c r="C68" s="26">
        <f t="shared" si="2"/>
        <v>0</v>
      </c>
      <c r="D68" s="26" t="str">
        <f t="shared" si="1"/>
        <v>0</v>
      </c>
      <c r="E68" s="24"/>
      <c r="F68" s="24"/>
      <c r="G68" s="24"/>
      <c r="H68" s="24"/>
    </row>
    <row r="69" spans="2:8" ht="15" x14ac:dyDescent="0.25">
      <c r="B69" s="26" t="str">
        <f t="shared" si="0"/>
        <v>0000</v>
      </c>
      <c r="C69" s="26">
        <f t="shared" si="2"/>
        <v>0</v>
      </c>
      <c r="D69" s="26" t="str">
        <f t="shared" si="1"/>
        <v>0</v>
      </c>
      <c r="E69" s="24"/>
      <c r="F69" s="24"/>
      <c r="G69" s="24"/>
      <c r="H69" s="24"/>
    </row>
    <row r="70" spans="2:8" ht="15" x14ac:dyDescent="0.25">
      <c r="B70" s="26" t="str">
        <f t="shared" si="0"/>
        <v>0000</v>
      </c>
      <c r="C70" s="26">
        <f t="shared" si="2"/>
        <v>0</v>
      </c>
      <c r="D70" s="26" t="str">
        <f t="shared" si="1"/>
        <v>0</v>
      </c>
      <c r="E70" s="24"/>
      <c r="F70" s="24"/>
      <c r="G70" s="24"/>
      <c r="H70" s="24"/>
    </row>
    <row r="71" spans="2:8" ht="15" x14ac:dyDescent="0.25">
      <c r="B71" s="26" t="str">
        <f t="shared" si="0"/>
        <v>0000</v>
      </c>
      <c r="C71" s="26">
        <f t="shared" si="2"/>
        <v>0</v>
      </c>
      <c r="D71" s="26" t="str">
        <f t="shared" si="1"/>
        <v>0</v>
      </c>
      <c r="E71" s="24"/>
      <c r="F71" s="24"/>
      <c r="G71" s="24"/>
      <c r="H71" s="24"/>
    </row>
    <row r="72" spans="2:8" ht="15" x14ac:dyDescent="0.25">
      <c r="B72" s="26" t="str">
        <f t="shared" si="0"/>
        <v>0000</v>
      </c>
      <c r="C72" s="26">
        <f t="shared" si="2"/>
        <v>0</v>
      </c>
      <c r="D72" s="26" t="str">
        <f t="shared" si="1"/>
        <v>0</v>
      </c>
      <c r="E72" s="24"/>
      <c r="F72" s="24"/>
      <c r="G72" s="24"/>
      <c r="H72" s="24"/>
    </row>
    <row r="73" spans="2:8" ht="15" x14ac:dyDescent="0.25">
      <c r="B73" s="26" t="str">
        <f t="shared" si="0"/>
        <v>0000</v>
      </c>
      <c r="C73" s="26">
        <f t="shared" si="2"/>
        <v>0</v>
      </c>
      <c r="D73" s="26" t="str">
        <f t="shared" si="1"/>
        <v>0</v>
      </c>
      <c r="E73" s="24"/>
      <c r="F73" s="24"/>
      <c r="G73" s="24"/>
      <c r="H73" s="24"/>
    </row>
    <row r="74" spans="2:8" ht="15" x14ac:dyDescent="0.25">
      <c r="B74" s="26" t="str">
        <f t="shared" si="0"/>
        <v>0000</v>
      </c>
      <c r="C74" s="26">
        <f t="shared" si="2"/>
        <v>0</v>
      </c>
      <c r="D74" s="26" t="str">
        <f t="shared" si="1"/>
        <v>0</v>
      </c>
      <c r="E74" s="24"/>
      <c r="F74" s="24"/>
      <c r="G74" s="24"/>
      <c r="H74" s="24"/>
    </row>
    <row r="75" spans="2:8" ht="15" x14ac:dyDescent="0.25">
      <c r="B75" s="26" t="str">
        <f t="shared" si="0"/>
        <v>0000</v>
      </c>
      <c r="C75" s="26">
        <f t="shared" si="2"/>
        <v>0</v>
      </c>
      <c r="D75" s="26" t="str">
        <f t="shared" si="1"/>
        <v>0</v>
      </c>
      <c r="E75" s="24"/>
      <c r="F75" s="24"/>
      <c r="G75" s="24"/>
      <c r="H75" s="24"/>
    </row>
    <row r="76" spans="2:8" ht="15" x14ac:dyDescent="0.25">
      <c r="B76" s="26" t="str">
        <f t="shared" si="0"/>
        <v>0000</v>
      </c>
      <c r="C76" s="26">
        <f t="shared" si="2"/>
        <v>0</v>
      </c>
      <c r="D76" s="26" t="str">
        <f t="shared" si="1"/>
        <v>0</v>
      </c>
      <c r="E76" s="24"/>
      <c r="F76" s="24"/>
      <c r="G76" s="24"/>
      <c r="H76" s="24"/>
    </row>
    <row r="77" spans="2:8" ht="15" x14ac:dyDescent="0.25">
      <c r="B77" s="26" t="str">
        <f t="shared" si="0"/>
        <v>0000</v>
      </c>
      <c r="C77" s="26">
        <f t="shared" si="2"/>
        <v>0</v>
      </c>
      <c r="D77" s="26" t="str">
        <f t="shared" si="1"/>
        <v>0</v>
      </c>
      <c r="E77" s="24"/>
      <c r="F77" s="24"/>
      <c r="G77" s="24"/>
      <c r="H77" s="24"/>
    </row>
    <row r="78" spans="2:8" ht="15" x14ac:dyDescent="0.25">
      <c r="B78" s="26" t="str">
        <f t="shared" si="0"/>
        <v>0000</v>
      </c>
      <c r="C78" s="26">
        <f t="shared" si="2"/>
        <v>0</v>
      </c>
      <c r="D78" s="26" t="str">
        <f t="shared" si="1"/>
        <v>0</v>
      </c>
      <c r="E78" s="24"/>
      <c r="F78" s="24"/>
      <c r="G78" s="24"/>
      <c r="H78" s="24"/>
    </row>
    <row r="79" spans="2:8" ht="15" x14ac:dyDescent="0.25">
      <c r="B79" s="26" t="str">
        <f t="shared" si="0"/>
        <v>0000</v>
      </c>
      <c r="C79" s="26">
        <f t="shared" si="2"/>
        <v>0</v>
      </c>
      <c r="D79" s="26" t="str">
        <f t="shared" si="1"/>
        <v>0</v>
      </c>
      <c r="E79" s="24"/>
      <c r="F79" s="24"/>
      <c r="G79" s="24"/>
      <c r="H79" s="24"/>
    </row>
    <row r="80" spans="2:8" ht="15" x14ac:dyDescent="0.25">
      <c r="B80" s="26" t="str">
        <f t="shared" si="0"/>
        <v>0000</v>
      </c>
      <c r="C80" s="26">
        <f t="shared" si="2"/>
        <v>0</v>
      </c>
      <c r="D80" s="26" t="str">
        <f t="shared" si="1"/>
        <v>0</v>
      </c>
      <c r="E80" s="24"/>
      <c r="F80" s="24"/>
      <c r="G80" s="24"/>
      <c r="H80" s="24"/>
    </row>
    <row r="81" spans="2:8" ht="15" x14ac:dyDescent="0.25">
      <c r="B81" s="26" t="str">
        <f t="shared" si="0"/>
        <v>0000</v>
      </c>
      <c r="C81" s="26">
        <f t="shared" si="2"/>
        <v>0</v>
      </c>
      <c r="D81" s="26" t="str">
        <f t="shared" si="1"/>
        <v>0</v>
      </c>
      <c r="E81" s="24"/>
      <c r="F81" s="24"/>
      <c r="G81" s="24"/>
      <c r="H81" s="24"/>
    </row>
    <row r="82" spans="2:8" ht="15" x14ac:dyDescent="0.25">
      <c r="B82" s="26" t="str">
        <f t="shared" si="0"/>
        <v>0000</v>
      </c>
      <c r="C82" s="26">
        <f t="shared" si="2"/>
        <v>0</v>
      </c>
      <c r="D82" s="26" t="str">
        <f t="shared" si="1"/>
        <v>0</v>
      </c>
      <c r="E82" s="24"/>
      <c r="F82" s="24"/>
      <c r="G82" s="24"/>
      <c r="H82" s="24"/>
    </row>
    <row r="83" spans="2:8" ht="15" x14ac:dyDescent="0.25">
      <c r="B83" s="26" t="str">
        <f t="shared" si="0"/>
        <v>0000</v>
      </c>
      <c r="C83" s="26">
        <f t="shared" si="2"/>
        <v>0</v>
      </c>
      <c r="D83" s="26" t="str">
        <f t="shared" si="1"/>
        <v>0</v>
      </c>
      <c r="E83" s="24"/>
      <c r="F83" s="24"/>
      <c r="G83" s="24"/>
      <c r="H83" s="24"/>
    </row>
    <row r="84" spans="2:8" ht="15" x14ac:dyDescent="0.25">
      <c r="B84" s="26" t="str">
        <f t="shared" si="0"/>
        <v>0000</v>
      </c>
      <c r="C84" s="26">
        <f t="shared" si="2"/>
        <v>0</v>
      </c>
      <c r="D84" s="26" t="str">
        <f t="shared" si="1"/>
        <v>0</v>
      </c>
      <c r="E84" s="24"/>
      <c r="F84" s="24"/>
      <c r="G84" s="24"/>
      <c r="H84" s="24"/>
    </row>
    <row r="85" spans="2:8" ht="15" x14ac:dyDescent="0.25">
      <c r="B85" s="26" t="str">
        <f t="shared" si="0"/>
        <v>0000</v>
      </c>
      <c r="C85" s="26">
        <f t="shared" si="2"/>
        <v>0</v>
      </c>
      <c r="D85" s="26" t="str">
        <f t="shared" si="1"/>
        <v>0</v>
      </c>
      <c r="E85" s="24"/>
      <c r="F85" s="24"/>
      <c r="G85" s="24"/>
      <c r="H85" s="24"/>
    </row>
    <row r="86" spans="2:8" ht="15" x14ac:dyDescent="0.25">
      <c r="B86" s="26" t="str">
        <f t="shared" si="0"/>
        <v>0000</v>
      </c>
      <c r="C86" s="26">
        <f t="shared" si="2"/>
        <v>0</v>
      </c>
      <c r="D86" s="26" t="str">
        <f t="shared" si="1"/>
        <v>0</v>
      </c>
      <c r="E86" s="24"/>
      <c r="F86" s="24"/>
      <c r="G86" s="24"/>
      <c r="H86" s="24"/>
    </row>
    <row r="87" spans="2:8" ht="15" x14ac:dyDescent="0.25">
      <c r="B87" s="26" t="str">
        <f t="shared" si="0"/>
        <v>0000</v>
      </c>
      <c r="C87" s="26">
        <f t="shared" si="2"/>
        <v>0</v>
      </c>
      <c r="D87" s="26" t="str">
        <f t="shared" si="1"/>
        <v>0</v>
      </c>
      <c r="E87" s="24"/>
      <c r="F87" s="24"/>
      <c r="G87" s="24"/>
      <c r="H87" s="24"/>
    </row>
    <row r="88" spans="2:8" ht="15" x14ac:dyDescent="0.25">
      <c r="B88" s="26" t="str">
        <f t="shared" si="0"/>
        <v>0000</v>
      </c>
      <c r="C88" s="26">
        <f t="shared" si="2"/>
        <v>0</v>
      </c>
      <c r="D88" s="26" t="str">
        <f t="shared" si="1"/>
        <v>0</v>
      </c>
      <c r="E88" s="24"/>
      <c r="F88" s="24"/>
      <c r="G88" s="24"/>
      <c r="H88" s="24"/>
    </row>
    <row r="89" spans="2:8" ht="15" x14ac:dyDescent="0.25">
      <c r="B89" s="26" t="str">
        <f t="shared" si="0"/>
        <v>0000</v>
      </c>
      <c r="C89" s="26">
        <f t="shared" si="2"/>
        <v>0</v>
      </c>
      <c r="D89" s="26" t="str">
        <f t="shared" si="1"/>
        <v>0</v>
      </c>
      <c r="E89" s="24"/>
      <c r="F89" s="24"/>
      <c r="G89" s="24"/>
      <c r="H89" s="24"/>
    </row>
    <row r="90" spans="2:8" ht="15" x14ac:dyDescent="0.25">
      <c r="B90" s="26" t="str">
        <f t="shared" si="0"/>
        <v>0000</v>
      </c>
      <c r="C90" s="26">
        <f t="shared" si="2"/>
        <v>0</v>
      </c>
      <c r="D90" s="26" t="str">
        <f t="shared" si="1"/>
        <v>0</v>
      </c>
      <c r="E90" s="24"/>
      <c r="F90" s="24"/>
      <c r="G90" s="24"/>
      <c r="H90" s="24"/>
    </row>
    <row r="91" spans="2:8" ht="15" x14ac:dyDescent="0.25">
      <c r="B91" s="26" t="str">
        <f t="shared" si="0"/>
        <v>0000</v>
      </c>
      <c r="C91" s="26">
        <f t="shared" si="2"/>
        <v>0</v>
      </c>
      <c r="D91" s="26" t="str">
        <f t="shared" si="1"/>
        <v>0</v>
      </c>
      <c r="E91" s="24"/>
      <c r="F91" s="24"/>
      <c r="G91" s="24"/>
      <c r="H91" s="24"/>
    </row>
    <row r="92" spans="2:8" ht="15" x14ac:dyDescent="0.25">
      <c r="B92" s="26" t="str">
        <f t="shared" si="0"/>
        <v>0000</v>
      </c>
      <c r="C92" s="26">
        <f t="shared" si="2"/>
        <v>0</v>
      </c>
      <c r="D92" s="26" t="str">
        <f t="shared" si="1"/>
        <v>0</v>
      </c>
      <c r="E92" s="24"/>
      <c r="F92" s="24"/>
      <c r="G92" s="24"/>
      <c r="H92" s="24"/>
    </row>
    <row r="93" spans="2:8" ht="15" x14ac:dyDescent="0.25">
      <c r="B93" s="26" t="str">
        <f t="shared" si="0"/>
        <v>0000</v>
      </c>
      <c r="C93" s="26">
        <f t="shared" si="2"/>
        <v>0</v>
      </c>
      <c r="D93" s="26" t="str">
        <f t="shared" si="1"/>
        <v>0</v>
      </c>
      <c r="E93" s="24"/>
      <c r="F93" s="24"/>
      <c r="G93" s="24"/>
      <c r="H93" s="24"/>
    </row>
    <row r="94" spans="2:8" ht="15" x14ac:dyDescent="0.25">
      <c r="B94" s="26" t="str">
        <f t="shared" si="0"/>
        <v>0000</v>
      </c>
      <c r="C94" s="26">
        <f t="shared" si="2"/>
        <v>0</v>
      </c>
      <c r="D94" s="26" t="str">
        <f t="shared" si="1"/>
        <v>0</v>
      </c>
      <c r="E94" s="24"/>
      <c r="F94" s="24"/>
      <c r="G94" s="24"/>
      <c r="H94" s="24"/>
    </row>
    <row r="95" spans="2:8" ht="15" x14ac:dyDescent="0.25">
      <c r="B95" s="26" t="str">
        <f t="shared" si="0"/>
        <v>0000</v>
      </c>
      <c r="C95" s="26">
        <f t="shared" si="2"/>
        <v>0</v>
      </c>
      <c r="D95" s="26" t="str">
        <f t="shared" si="1"/>
        <v>0</v>
      </c>
      <c r="E95" s="24"/>
      <c r="F95" s="24"/>
      <c r="G95" s="24"/>
      <c r="H95" s="24"/>
    </row>
    <row r="96" spans="2:8" ht="15" x14ac:dyDescent="0.25">
      <c r="B96" s="26" t="str">
        <f t="shared" si="0"/>
        <v>0000</v>
      </c>
      <c r="C96" s="26">
        <f t="shared" si="2"/>
        <v>0</v>
      </c>
      <c r="D96" s="26" t="str">
        <f t="shared" si="1"/>
        <v>0</v>
      </c>
      <c r="E96" s="24"/>
      <c r="F96" s="24"/>
      <c r="G96" s="24"/>
      <c r="H96" s="24"/>
    </row>
    <row r="97" spans="2:8" ht="15" x14ac:dyDescent="0.25">
      <c r="B97" s="26" t="str">
        <f t="shared" si="0"/>
        <v>0000</v>
      </c>
      <c r="C97" s="26">
        <f t="shared" si="2"/>
        <v>0</v>
      </c>
      <c r="D97" s="26" t="str">
        <f t="shared" si="1"/>
        <v>0</v>
      </c>
      <c r="E97" s="24"/>
      <c r="F97" s="24"/>
      <c r="G97" s="24"/>
      <c r="H97" s="24"/>
    </row>
    <row r="98" spans="2:8" ht="15" x14ac:dyDescent="0.25">
      <c r="B98" s="26" t="str">
        <f t="shared" si="0"/>
        <v>0000</v>
      </c>
      <c r="C98" s="26">
        <f t="shared" si="2"/>
        <v>0</v>
      </c>
      <c r="D98" s="26" t="str">
        <f t="shared" si="1"/>
        <v>0</v>
      </c>
      <c r="E98" s="24"/>
      <c r="F98" s="24"/>
      <c r="G98" s="24"/>
      <c r="H98" s="24"/>
    </row>
    <row r="99" spans="2:8" ht="15" x14ac:dyDescent="0.25">
      <c r="B99" s="26" t="str">
        <f t="shared" si="0"/>
        <v>0000</v>
      </c>
      <c r="C99" s="26">
        <f t="shared" si="2"/>
        <v>0</v>
      </c>
      <c r="D99" s="26" t="str">
        <f t="shared" si="1"/>
        <v>0</v>
      </c>
      <c r="E99" s="24"/>
      <c r="F99" s="24"/>
      <c r="G99" s="24"/>
      <c r="H99" s="24"/>
    </row>
    <row r="100" spans="2:8" ht="15" x14ac:dyDescent="0.25">
      <c r="B100" s="26" t="str">
        <f t="shared" si="0"/>
        <v>0000</v>
      </c>
      <c r="C100" s="26">
        <f t="shared" si="2"/>
        <v>0</v>
      </c>
      <c r="D100" s="26" t="str">
        <f t="shared" si="1"/>
        <v>0</v>
      </c>
      <c r="E100" s="24"/>
      <c r="F100" s="24"/>
      <c r="G100" s="24"/>
      <c r="H100" s="24"/>
    </row>
    <row r="101" spans="2:8" ht="15" x14ac:dyDescent="0.25">
      <c r="B101" s="26" t="str">
        <f t="shared" si="0"/>
        <v>0000</v>
      </c>
      <c r="C101" s="26">
        <f t="shared" si="2"/>
        <v>0</v>
      </c>
      <c r="D101" s="26" t="str">
        <f t="shared" si="1"/>
        <v>0</v>
      </c>
      <c r="E101" s="24"/>
      <c r="F101" s="24"/>
      <c r="G101" s="24"/>
      <c r="H101" s="24"/>
    </row>
    <row r="102" spans="2:8" ht="15" x14ac:dyDescent="0.25">
      <c r="B102" s="26" t="str">
        <f t="shared" si="0"/>
        <v>0000</v>
      </c>
      <c r="C102" s="26">
        <f t="shared" si="2"/>
        <v>0</v>
      </c>
      <c r="D102" s="26" t="str">
        <f t="shared" si="1"/>
        <v>0</v>
      </c>
      <c r="E102" s="24"/>
      <c r="F102" s="24"/>
      <c r="G102" s="24"/>
      <c r="H102" s="24"/>
    </row>
    <row r="103" spans="2:8" ht="15" x14ac:dyDescent="0.25">
      <c r="B103" s="26" t="str">
        <f t="shared" si="0"/>
        <v>0000</v>
      </c>
      <c r="C103" s="26">
        <f t="shared" si="2"/>
        <v>0</v>
      </c>
      <c r="D103" s="26" t="str">
        <f t="shared" si="1"/>
        <v>0</v>
      </c>
      <c r="E103" s="24"/>
      <c r="F103" s="24"/>
      <c r="G103" s="24"/>
      <c r="H103" s="24"/>
    </row>
    <row r="104" spans="2:8" ht="15" x14ac:dyDescent="0.25">
      <c r="B104" s="26" t="str">
        <f t="shared" si="0"/>
        <v>0000</v>
      </c>
      <c r="C104" s="26">
        <f t="shared" si="2"/>
        <v>0</v>
      </c>
      <c r="D104" s="26" t="str">
        <f t="shared" si="1"/>
        <v>0</v>
      </c>
      <c r="E104" s="24"/>
      <c r="F104" s="24"/>
      <c r="G104" s="24"/>
      <c r="H104" s="24"/>
    </row>
    <row r="105" spans="2:8" ht="15" x14ac:dyDescent="0.25">
      <c r="B105" s="26" t="str">
        <f t="shared" si="0"/>
        <v>0000</v>
      </c>
      <c r="C105" s="26">
        <f t="shared" si="2"/>
        <v>0</v>
      </c>
      <c r="D105" s="26" t="str">
        <f t="shared" si="1"/>
        <v>0</v>
      </c>
      <c r="E105" s="24"/>
      <c r="F105" s="24"/>
      <c r="G105" s="24"/>
      <c r="H105" s="24"/>
    </row>
    <row r="106" spans="2:8" ht="15" x14ac:dyDescent="0.25">
      <c r="B106" s="26" t="str">
        <f t="shared" si="0"/>
        <v>0000</v>
      </c>
      <c r="C106" s="26">
        <f t="shared" si="2"/>
        <v>0</v>
      </c>
      <c r="D106" s="26" t="str">
        <f t="shared" si="1"/>
        <v>0</v>
      </c>
      <c r="E106" s="24"/>
      <c r="F106" s="24"/>
      <c r="G106" s="24"/>
      <c r="H106" s="24"/>
    </row>
    <row r="107" spans="2:8" ht="15" x14ac:dyDescent="0.25">
      <c r="B107" s="26" t="str">
        <f t="shared" si="0"/>
        <v>0000</v>
      </c>
      <c r="C107" s="26">
        <f t="shared" si="2"/>
        <v>0</v>
      </c>
      <c r="D107" s="26" t="str">
        <f t="shared" si="1"/>
        <v>0</v>
      </c>
      <c r="E107" s="24"/>
      <c r="F107" s="24"/>
      <c r="G107" s="24"/>
      <c r="H107" s="24"/>
    </row>
    <row r="108" spans="2:8" ht="15" x14ac:dyDescent="0.25">
      <c r="B108" s="26" t="str">
        <f t="shared" si="0"/>
        <v>0000</v>
      </c>
      <c r="C108" s="26">
        <f t="shared" si="2"/>
        <v>0</v>
      </c>
      <c r="D108" s="26" t="str">
        <f t="shared" si="1"/>
        <v>0</v>
      </c>
      <c r="E108" s="24"/>
      <c r="F108" s="24"/>
      <c r="G108" s="24"/>
      <c r="H108" s="24"/>
    </row>
    <row r="109" spans="2:8" ht="15" x14ac:dyDescent="0.25">
      <c r="B109" s="26" t="str">
        <f t="shared" si="0"/>
        <v>0000</v>
      </c>
      <c r="C109" s="26">
        <f t="shared" si="2"/>
        <v>0</v>
      </c>
      <c r="D109" s="26" t="str">
        <f t="shared" si="1"/>
        <v>0</v>
      </c>
      <c r="E109" s="24"/>
      <c r="F109" s="24"/>
      <c r="G109" s="24"/>
      <c r="H109" s="24"/>
    </row>
    <row r="110" spans="2:8" ht="15" x14ac:dyDescent="0.25">
      <c r="B110" s="26" t="str">
        <f t="shared" si="0"/>
        <v>0000</v>
      </c>
      <c r="C110" s="26">
        <f t="shared" si="2"/>
        <v>0</v>
      </c>
      <c r="D110" s="26" t="str">
        <f t="shared" si="1"/>
        <v>0</v>
      </c>
      <c r="E110" s="24"/>
      <c r="F110" s="24"/>
      <c r="G110" s="24"/>
      <c r="H110" s="24"/>
    </row>
    <row r="111" spans="2:8" ht="15" x14ac:dyDescent="0.25">
      <c r="B111" s="26" t="str">
        <f t="shared" si="0"/>
        <v>0000</v>
      </c>
      <c r="C111" s="26">
        <f t="shared" si="2"/>
        <v>0</v>
      </c>
      <c r="D111" s="26" t="str">
        <f t="shared" si="1"/>
        <v>0</v>
      </c>
      <c r="E111" s="24"/>
      <c r="F111" s="24"/>
      <c r="G111" s="24"/>
      <c r="H111" s="24"/>
    </row>
    <row r="112" spans="2:8" ht="15" x14ac:dyDescent="0.25">
      <c r="B112" s="26" t="str">
        <f t="shared" si="0"/>
        <v>0000</v>
      </c>
      <c r="C112" s="26">
        <f t="shared" si="2"/>
        <v>0</v>
      </c>
      <c r="D112" s="26" t="str">
        <f t="shared" si="1"/>
        <v>0</v>
      </c>
      <c r="E112" s="24"/>
      <c r="F112" s="24"/>
      <c r="G112" s="24"/>
      <c r="H112" s="24"/>
    </row>
    <row r="113" spans="2:8" ht="15" x14ac:dyDescent="0.25">
      <c r="B113" s="26" t="str">
        <f t="shared" si="0"/>
        <v>0000</v>
      </c>
      <c r="C113" s="26">
        <f t="shared" si="2"/>
        <v>0</v>
      </c>
      <c r="D113" s="26" t="str">
        <f t="shared" si="1"/>
        <v>0</v>
      </c>
      <c r="E113" s="24"/>
      <c r="F113" s="24"/>
      <c r="G113" s="24"/>
      <c r="H113" s="24"/>
    </row>
    <row r="114" spans="2:8" ht="15" x14ac:dyDescent="0.25">
      <c r="B114" s="26" t="str">
        <f t="shared" si="0"/>
        <v>0000</v>
      </c>
      <c r="C114" s="26">
        <f t="shared" si="2"/>
        <v>0</v>
      </c>
      <c r="D114" s="26" t="str">
        <f t="shared" si="1"/>
        <v>0</v>
      </c>
      <c r="E114" s="24"/>
      <c r="F114" s="24"/>
      <c r="G114" s="24"/>
      <c r="H114" s="24"/>
    </row>
    <row r="115" spans="2:8" ht="15" x14ac:dyDescent="0.25">
      <c r="B115" s="26" t="str">
        <f t="shared" ref="B115:B178" si="3">DEC2BIN(C115,BAM_bits)</f>
        <v>0000</v>
      </c>
      <c r="C115" s="26">
        <f t="shared" si="2"/>
        <v>0</v>
      </c>
      <c r="D115" s="26" t="str">
        <f t="shared" si="1"/>
        <v>0</v>
      </c>
      <c r="E115" s="24"/>
      <c r="F115" s="24"/>
      <c r="G115" s="24"/>
      <c r="H115" s="24"/>
    </row>
    <row r="116" spans="2:8" ht="15" x14ac:dyDescent="0.25">
      <c r="B116" s="26" t="str">
        <f t="shared" si="3"/>
        <v>0000</v>
      </c>
      <c r="C116" s="26">
        <f t="shared" si="2"/>
        <v>0</v>
      </c>
      <c r="D116" s="26" t="str">
        <f t="shared" ref="D116:D179" si="4">DEC2HEX(C116)</f>
        <v>0</v>
      </c>
      <c r="E116" s="24"/>
      <c r="F116" s="24"/>
      <c r="G116" s="24"/>
      <c r="H116" s="24"/>
    </row>
    <row r="117" spans="2:8" ht="15" x14ac:dyDescent="0.25">
      <c r="B117" s="26" t="str">
        <f t="shared" si="3"/>
        <v>0000</v>
      </c>
      <c r="C117" s="26">
        <f t="shared" ref="C117:C180" si="5">IF(C116=0,0,IF(POWER(2,BAM_bits)-1&gt;C116,C116+1,0))</f>
        <v>0</v>
      </c>
      <c r="D117" s="26" t="str">
        <f t="shared" si="4"/>
        <v>0</v>
      </c>
      <c r="E117" s="24"/>
      <c r="F117" s="24"/>
      <c r="G117" s="24"/>
      <c r="H117" s="24"/>
    </row>
    <row r="118" spans="2:8" ht="15" x14ac:dyDescent="0.25">
      <c r="B118" s="26" t="str">
        <f t="shared" si="3"/>
        <v>0000</v>
      </c>
      <c r="C118" s="26">
        <f t="shared" si="5"/>
        <v>0</v>
      </c>
      <c r="D118" s="26" t="str">
        <f t="shared" si="4"/>
        <v>0</v>
      </c>
      <c r="E118" s="24"/>
      <c r="F118" s="24"/>
      <c r="G118" s="24"/>
      <c r="H118" s="24"/>
    </row>
    <row r="119" spans="2:8" ht="15" x14ac:dyDescent="0.25">
      <c r="B119" s="26" t="str">
        <f t="shared" si="3"/>
        <v>0000</v>
      </c>
      <c r="C119" s="26">
        <f t="shared" si="5"/>
        <v>0</v>
      </c>
      <c r="D119" s="26" t="str">
        <f t="shared" si="4"/>
        <v>0</v>
      </c>
      <c r="E119" s="24"/>
      <c r="F119" s="24"/>
      <c r="G119" s="24"/>
      <c r="H119" s="24"/>
    </row>
    <row r="120" spans="2:8" ht="15" x14ac:dyDescent="0.25">
      <c r="B120" s="26" t="str">
        <f t="shared" si="3"/>
        <v>0000</v>
      </c>
      <c r="C120" s="26">
        <f t="shared" si="5"/>
        <v>0</v>
      </c>
      <c r="D120" s="26" t="str">
        <f t="shared" si="4"/>
        <v>0</v>
      </c>
      <c r="E120" s="24"/>
      <c r="F120" s="24"/>
      <c r="G120" s="24"/>
      <c r="H120" s="24"/>
    </row>
    <row r="121" spans="2:8" ht="15" x14ac:dyDescent="0.25">
      <c r="B121" s="26" t="str">
        <f t="shared" si="3"/>
        <v>0000</v>
      </c>
      <c r="C121" s="26">
        <f t="shared" si="5"/>
        <v>0</v>
      </c>
      <c r="D121" s="26" t="str">
        <f t="shared" si="4"/>
        <v>0</v>
      </c>
      <c r="E121" s="24"/>
      <c r="F121" s="24"/>
      <c r="G121" s="24"/>
      <c r="H121" s="24"/>
    </row>
    <row r="122" spans="2:8" ht="15" x14ac:dyDescent="0.25">
      <c r="B122" s="26" t="str">
        <f t="shared" si="3"/>
        <v>0000</v>
      </c>
      <c r="C122" s="26">
        <f t="shared" si="5"/>
        <v>0</v>
      </c>
      <c r="D122" s="26" t="str">
        <f t="shared" si="4"/>
        <v>0</v>
      </c>
      <c r="E122" s="24"/>
      <c r="F122" s="24"/>
      <c r="G122" s="24"/>
      <c r="H122" s="24"/>
    </row>
    <row r="123" spans="2:8" ht="15" x14ac:dyDescent="0.25">
      <c r="B123" s="26" t="str">
        <f t="shared" si="3"/>
        <v>0000</v>
      </c>
      <c r="C123" s="26">
        <f t="shared" si="5"/>
        <v>0</v>
      </c>
      <c r="D123" s="26" t="str">
        <f t="shared" si="4"/>
        <v>0</v>
      </c>
      <c r="E123" s="24"/>
      <c r="F123" s="24"/>
      <c r="G123" s="24"/>
      <c r="H123" s="24"/>
    </row>
    <row r="124" spans="2:8" ht="15" x14ac:dyDescent="0.25">
      <c r="B124" s="26" t="str">
        <f t="shared" si="3"/>
        <v>0000</v>
      </c>
      <c r="C124" s="26">
        <f t="shared" si="5"/>
        <v>0</v>
      </c>
      <c r="D124" s="26" t="str">
        <f t="shared" si="4"/>
        <v>0</v>
      </c>
      <c r="E124" s="24"/>
      <c r="F124" s="24"/>
      <c r="G124" s="24"/>
      <c r="H124" s="24"/>
    </row>
    <row r="125" spans="2:8" ht="15" x14ac:dyDescent="0.25">
      <c r="B125" s="26" t="str">
        <f t="shared" si="3"/>
        <v>0000</v>
      </c>
      <c r="C125" s="26">
        <f t="shared" si="5"/>
        <v>0</v>
      </c>
      <c r="D125" s="26" t="str">
        <f t="shared" si="4"/>
        <v>0</v>
      </c>
      <c r="E125" s="24"/>
      <c r="F125" s="24"/>
      <c r="G125" s="24"/>
      <c r="H125" s="24"/>
    </row>
    <row r="126" spans="2:8" ht="15" x14ac:dyDescent="0.25">
      <c r="B126" s="26" t="str">
        <f t="shared" si="3"/>
        <v>0000</v>
      </c>
      <c r="C126" s="26">
        <f t="shared" si="5"/>
        <v>0</v>
      </c>
      <c r="D126" s="26" t="str">
        <f t="shared" si="4"/>
        <v>0</v>
      </c>
      <c r="E126" s="24"/>
      <c r="F126" s="24"/>
      <c r="G126" s="24"/>
      <c r="H126" s="24"/>
    </row>
    <row r="127" spans="2:8" ht="15" x14ac:dyDescent="0.25">
      <c r="B127" s="26" t="str">
        <f t="shared" si="3"/>
        <v>0000</v>
      </c>
      <c r="C127" s="26">
        <f t="shared" si="5"/>
        <v>0</v>
      </c>
      <c r="D127" s="26" t="str">
        <f t="shared" si="4"/>
        <v>0</v>
      </c>
      <c r="E127" s="24"/>
      <c r="F127" s="24"/>
      <c r="G127" s="24"/>
      <c r="H127" s="24"/>
    </row>
    <row r="128" spans="2:8" ht="15" x14ac:dyDescent="0.25">
      <c r="B128" s="26" t="str">
        <f t="shared" si="3"/>
        <v>0000</v>
      </c>
      <c r="C128" s="26">
        <f t="shared" si="5"/>
        <v>0</v>
      </c>
      <c r="D128" s="26" t="str">
        <f t="shared" si="4"/>
        <v>0</v>
      </c>
      <c r="E128" s="24"/>
      <c r="F128" s="24"/>
      <c r="G128" s="24"/>
      <c r="H128" s="24"/>
    </row>
    <row r="129" spans="2:8" ht="15" x14ac:dyDescent="0.25">
      <c r="B129" s="26" t="str">
        <f t="shared" si="3"/>
        <v>0000</v>
      </c>
      <c r="C129" s="26">
        <f t="shared" si="5"/>
        <v>0</v>
      </c>
      <c r="D129" s="26" t="str">
        <f t="shared" si="4"/>
        <v>0</v>
      </c>
      <c r="E129" s="24"/>
      <c r="F129" s="24"/>
      <c r="G129" s="24"/>
      <c r="H129" s="24"/>
    </row>
    <row r="130" spans="2:8" ht="15" x14ac:dyDescent="0.25">
      <c r="B130" s="26" t="str">
        <f t="shared" si="3"/>
        <v>0000</v>
      </c>
      <c r="C130" s="26">
        <f t="shared" si="5"/>
        <v>0</v>
      </c>
      <c r="D130" s="26" t="str">
        <f t="shared" si="4"/>
        <v>0</v>
      </c>
      <c r="E130" s="24"/>
      <c r="F130" s="24"/>
      <c r="G130" s="24"/>
      <c r="H130" s="24"/>
    </row>
    <row r="131" spans="2:8" ht="15" x14ac:dyDescent="0.25">
      <c r="B131" s="26" t="str">
        <f t="shared" si="3"/>
        <v>0000</v>
      </c>
      <c r="C131" s="26">
        <f t="shared" si="5"/>
        <v>0</v>
      </c>
      <c r="D131" s="26" t="str">
        <f t="shared" si="4"/>
        <v>0</v>
      </c>
      <c r="E131" s="24"/>
      <c r="F131" s="24"/>
      <c r="G131" s="24"/>
      <c r="H131" s="24"/>
    </row>
    <row r="132" spans="2:8" ht="15" x14ac:dyDescent="0.25">
      <c r="B132" s="26" t="str">
        <f t="shared" si="3"/>
        <v>0000</v>
      </c>
      <c r="C132" s="26">
        <f t="shared" si="5"/>
        <v>0</v>
      </c>
      <c r="D132" s="26" t="str">
        <f t="shared" si="4"/>
        <v>0</v>
      </c>
      <c r="E132" s="24"/>
      <c r="F132" s="24"/>
      <c r="G132" s="24"/>
      <c r="H132" s="24"/>
    </row>
    <row r="133" spans="2:8" ht="15" x14ac:dyDescent="0.25">
      <c r="B133" s="26" t="str">
        <f t="shared" si="3"/>
        <v>0000</v>
      </c>
      <c r="C133" s="26">
        <f t="shared" si="5"/>
        <v>0</v>
      </c>
      <c r="D133" s="26" t="str">
        <f t="shared" si="4"/>
        <v>0</v>
      </c>
      <c r="E133" s="24"/>
      <c r="F133" s="24"/>
      <c r="G133" s="24"/>
      <c r="H133" s="24"/>
    </row>
    <row r="134" spans="2:8" ht="15" x14ac:dyDescent="0.25">
      <c r="B134" s="26" t="str">
        <f t="shared" si="3"/>
        <v>0000</v>
      </c>
      <c r="C134" s="26">
        <f t="shared" si="5"/>
        <v>0</v>
      </c>
      <c r="D134" s="26" t="str">
        <f t="shared" si="4"/>
        <v>0</v>
      </c>
      <c r="E134" s="24"/>
      <c r="F134" s="24"/>
      <c r="G134" s="24"/>
      <c r="H134" s="24"/>
    </row>
    <row r="135" spans="2:8" ht="15" x14ac:dyDescent="0.25">
      <c r="B135" s="26" t="str">
        <f t="shared" si="3"/>
        <v>0000</v>
      </c>
      <c r="C135" s="26">
        <f t="shared" si="5"/>
        <v>0</v>
      </c>
      <c r="D135" s="26" t="str">
        <f t="shared" si="4"/>
        <v>0</v>
      </c>
      <c r="E135" s="24"/>
      <c r="F135" s="24"/>
      <c r="G135" s="24"/>
      <c r="H135" s="24"/>
    </row>
    <row r="136" spans="2:8" ht="15" x14ac:dyDescent="0.25">
      <c r="B136" s="26" t="str">
        <f t="shared" si="3"/>
        <v>0000</v>
      </c>
      <c r="C136" s="26">
        <f t="shared" si="5"/>
        <v>0</v>
      </c>
      <c r="D136" s="26" t="str">
        <f t="shared" si="4"/>
        <v>0</v>
      </c>
      <c r="E136" s="24"/>
      <c r="F136" s="24"/>
      <c r="G136" s="24"/>
      <c r="H136" s="24"/>
    </row>
    <row r="137" spans="2:8" ht="15" x14ac:dyDescent="0.25">
      <c r="B137" s="26" t="str">
        <f t="shared" si="3"/>
        <v>0000</v>
      </c>
      <c r="C137" s="26">
        <f t="shared" si="5"/>
        <v>0</v>
      </c>
      <c r="D137" s="26" t="str">
        <f t="shared" si="4"/>
        <v>0</v>
      </c>
      <c r="E137" s="24"/>
      <c r="F137" s="24"/>
      <c r="G137" s="24"/>
      <c r="H137" s="24"/>
    </row>
    <row r="138" spans="2:8" ht="15" x14ac:dyDescent="0.25">
      <c r="B138" s="26" t="str">
        <f t="shared" si="3"/>
        <v>0000</v>
      </c>
      <c r="C138" s="26">
        <f t="shared" si="5"/>
        <v>0</v>
      </c>
      <c r="D138" s="26" t="str">
        <f t="shared" si="4"/>
        <v>0</v>
      </c>
      <c r="E138" s="24"/>
      <c r="F138" s="24"/>
      <c r="G138" s="24"/>
      <c r="H138" s="24"/>
    </row>
    <row r="139" spans="2:8" ht="15" x14ac:dyDescent="0.25">
      <c r="B139" s="26" t="str">
        <f t="shared" si="3"/>
        <v>0000</v>
      </c>
      <c r="C139" s="26">
        <f t="shared" si="5"/>
        <v>0</v>
      </c>
      <c r="D139" s="26" t="str">
        <f t="shared" si="4"/>
        <v>0</v>
      </c>
      <c r="E139" s="24"/>
      <c r="F139" s="24"/>
      <c r="G139" s="24"/>
      <c r="H139" s="24"/>
    </row>
    <row r="140" spans="2:8" ht="15" x14ac:dyDescent="0.25">
      <c r="B140" s="26" t="str">
        <f t="shared" si="3"/>
        <v>0000</v>
      </c>
      <c r="C140" s="26">
        <f t="shared" si="5"/>
        <v>0</v>
      </c>
      <c r="D140" s="26" t="str">
        <f t="shared" si="4"/>
        <v>0</v>
      </c>
      <c r="E140" s="24"/>
      <c r="F140" s="24"/>
      <c r="G140" s="24"/>
      <c r="H140" s="24"/>
    </row>
    <row r="141" spans="2:8" ht="15" x14ac:dyDescent="0.25">
      <c r="B141" s="26" t="str">
        <f t="shared" si="3"/>
        <v>0000</v>
      </c>
      <c r="C141" s="26">
        <f t="shared" si="5"/>
        <v>0</v>
      </c>
      <c r="D141" s="26" t="str">
        <f t="shared" si="4"/>
        <v>0</v>
      </c>
      <c r="E141" s="24"/>
      <c r="F141" s="24"/>
      <c r="G141" s="24"/>
      <c r="H141" s="24"/>
    </row>
    <row r="142" spans="2:8" ht="15" x14ac:dyDescent="0.25">
      <c r="B142" s="26" t="str">
        <f t="shared" si="3"/>
        <v>0000</v>
      </c>
      <c r="C142" s="26">
        <f t="shared" si="5"/>
        <v>0</v>
      </c>
      <c r="D142" s="26" t="str">
        <f t="shared" si="4"/>
        <v>0</v>
      </c>
      <c r="E142" s="24"/>
      <c r="F142" s="24"/>
      <c r="G142" s="24"/>
      <c r="H142" s="24"/>
    </row>
    <row r="143" spans="2:8" ht="15" x14ac:dyDescent="0.25">
      <c r="B143" s="26" t="str">
        <f t="shared" si="3"/>
        <v>0000</v>
      </c>
      <c r="C143" s="26">
        <f t="shared" si="5"/>
        <v>0</v>
      </c>
      <c r="D143" s="26" t="str">
        <f t="shared" si="4"/>
        <v>0</v>
      </c>
      <c r="E143" s="24"/>
      <c r="F143" s="24"/>
      <c r="G143" s="24"/>
      <c r="H143" s="24"/>
    </row>
    <row r="144" spans="2:8" ht="15" x14ac:dyDescent="0.25">
      <c r="B144" s="26" t="str">
        <f t="shared" si="3"/>
        <v>0000</v>
      </c>
      <c r="C144" s="26">
        <f t="shared" si="5"/>
        <v>0</v>
      </c>
      <c r="D144" s="26" t="str">
        <f t="shared" si="4"/>
        <v>0</v>
      </c>
      <c r="E144" s="24"/>
      <c r="F144" s="24"/>
      <c r="G144" s="24"/>
      <c r="H144" s="24"/>
    </row>
    <row r="145" spans="2:8" ht="15" x14ac:dyDescent="0.25">
      <c r="B145" s="26" t="str">
        <f t="shared" si="3"/>
        <v>0000</v>
      </c>
      <c r="C145" s="26">
        <f t="shared" si="5"/>
        <v>0</v>
      </c>
      <c r="D145" s="26" t="str">
        <f t="shared" si="4"/>
        <v>0</v>
      </c>
      <c r="E145" s="24"/>
      <c r="F145" s="24"/>
      <c r="G145" s="24"/>
      <c r="H145" s="24"/>
    </row>
    <row r="146" spans="2:8" ht="15" x14ac:dyDescent="0.25">
      <c r="B146" s="26" t="str">
        <f t="shared" si="3"/>
        <v>0000</v>
      </c>
      <c r="C146" s="26">
        <f t="shared" si="5"/>
        <v>0</v>
      </c>
      <c r="D146" s="26" t="str">
        <f t="shared" si="4"/>
        <v>0</v>
      </c>
      <c r="E146" s="24"/>
      <c r="F146" s="24"/>
      <c r="G146" s="24"/>
      <c r="H146" s="24"/>
    </row>
    <row r="147" spans="2:8" ht="15" x14ac:dyDescent="0.25">
      <c r="B147" s="26" t="str">
        <f t="shared" si="3"/>
        <v>0000</v>
      </c>
      <c r="C147" s="26">
        <f t="shared" si="5"/>
        <v>0</v>
      </c>
      <c r="D147" s="26" t="str">
        <f t="shared" si="4"/>
        <v>0</v>
      </c>
      <c r="E147" s="24"/>
      <c r="F147" s="24"/>
      <c r="G147" s="24"/>
      <c r="H147" s="24"/>
    </row>
    <row r="148" spans="2:8" ht="15" x14ac:dyDescent="0.25">
      <c r="B148" s="26" t="str">
        <f t="shared" si="3"/>
        <v>0000</v>
      </c>
      <c r="C148" s="26">
        <f t="shared" si="5"/>
        <v>0</v>
      </c>
      <c r="D148" s="26" t="str">
        <f t="shared" si="4"/>
        <v>0</v>
      </c>
      <c r="E148" s="24"/>
      <c r="F148" s="24"/>
      <c r="G148" s="24"/>
      <c r="H148" s="24"/>
    </row>
    <row r="149" spans="2:8" ht="15" x14ac:dyDescent="0.25">
      <c r="B149" s="26" t="str">
        <f t="shared" si="3"/>
        <v>0000</v>
      </c>
      <c r="C149" s="26">
        <f t="shared" si="5"/>
        <v>0</v>
      </c>
      <c r="D149" s="26" t="str">
        <f t="shared" si="4"/>
        <v>0</v>
      </c>
      <c r="E149" s="24"/>
      <c r="F149" s="24"/>
      <c r="G149" s="24"/>
      <c r="H149" s="24"/>
    </row>
    <row r="150" spans="2:8" ht="15" x14ac:dyDescent="0.25">
      <c r="B150" s="26" t="str">
        <f t="shared" si="3"/>
        <v>0000</v>
      </c>
      <c r="C150" s="26">
        <f t="shared" si="5"/>
        <v>0</v>
      </c>
      <c r="D150" s="26" t="str">
        <f t="shared" si="4"/>
        <v>0</v>
      </c>
      <c r="E150" s="24"/>
      <c r="F150" s="24"/>
      <c r="G150" s="24"/>
      <c r="H150" s="24"/>
    </row>
    <row r="151" spans="2:8" ht="15" x14ac:dyDescent="0.25">
      <c r="B151" s="26" t="str">
        <f t="shared" si="3"/>
        <v>0000</v>
      </c>
      <c r="C151" s="26">
        <f t="shared" si="5"/>
        <v>0</v>
      </c>
      <c r="D151" s="26" t="str">
        <f t="shared" si="4"/>
        <v>0</v>
      </c>
      <c r="E151" s="24"/>
      <c r="F151" s="24"/>
      <c r="G151" s="24"/>
      <c r="H151" s="24"/>
    </row>
    <row r="152" spans="2:8" ht="15" x14ac:dyDescent="0.25">
      <c r="B152" s="26" t="str">
        <f t="shared" si="3"/>
        <v>0000</v>
      </c>
      <c r="C152" s="26">
        <f t="shared" si="5"/>
        <v>0</v>
      </c>
      <c r="D152" s="26" t="str">
        <f t="shared" si="4"/>
        <v>0</v>
      </c>
      <c r="E152" s="24"/>
      <c r="F152" s="24"/>
      <c r="G152" s="24"/>
      <c r="H152" s="24"/>
    </row>
    <row r="153" spans="2:8" ht="15" x14ac:dyDescent="0.25">
      <c r="B153" s="26" t="str">
        <f t="shared" si="3"/>
        <v>0000</v>
      </c>
      <c r="C153" s="26">
        <f t="shared" si="5"/>
        <v>0</v>
      </c>
      <c r="D153" s="26" t="str">
        <f t="shared" si="4"/>
        <v>0</v>
      </c>
      <c r="E153" s="24"/>
      <c r="F153" s="24"/>
      <c r="G153" s="24"/>
      <c r="H153" s="24"/>
    </row>
    <row r="154" spans="2:8" ht="15" x14ac:dyDescent="0.25">
      <c r="B154" s="26" t="str">
        <f t="shared" si="3"/>
        <v>0000</v>
      </c>
      <c r="C154" s="26">
        <f t="shared" si="5"/>
        <v>0</v>
      </c>
      <c r="D154" s="26" t="str">
        <f t="shared" si="4"/>
        <v>0</v>
      </c>
      <c r="E154" s="24"/>
      <c r="F154" s="24"/>
      <c r="G154" s="24"/>
      <c r="H154" s="24"/>
    </row>
    <row r="155" spans="2:8" ht="15" x14ac:dyDescent="0.25">
      <c r="B155" s="26" t="str">
        <f t="shared" si="3"/>
        <v>0000</v>
      </c>
      <c r="C155" s="26">
        <f t="shared" si="5"/>
        <v>0</v>
      </c>
      <c r="D155" s="26" t="str">
        <f t="shared" si="4"/>
        <v>0</v>
      </c>
      <c r="E155" s="24"/>
      <c r="F155" s="24"/>
      <c r="G155" s="24"/>
      <c r="H155" s="24"/>
    </row>
    <row r="156" spans="2:8" ht="15" x14ac:dyDescent="0.25">
      <c r="B156" s="26" t="str">
        <f t="shared" si="3"/>
        <v>0000</v>
      </c>
      <c r="C156" s="26">
        <f t="shared" si="5"/>
        <v>0</v>
      </c>
      <c r="D156" s="26" t="str">
        <f t="shared" si="4"/>
        <v>0</v>
      </c>
      <c r="E156" s="24"/>
      <c r="F156" s="24"/>
      <c r="G156" s="24"/>
      <c r="H156" s="24"/>
    </row>
    <row r="157" spans="2:8" ht="15" x14ac:dyDescent="0.25">
      <c r="B157" s="26" t="str">
        <f t="shared" si="3"/>
        <v>0000</v>
      </c>
      <c r="C157" s="26">
        <f t="shared" si="5"/>
        <v>0</v>
      </c>
      <c r="D157" s="26" t="str">
        <f t="shared" si="4"/>
        <v>0</v>
      </c>
      <c r="E157" s="24"/>
      <c r="F157" s="24"/>
      <c r="G157" s="24"/>
      <c r="H157" s="24"/>
    </row>
    <row r="158" spans="2:8" ht="15" x14ac:dyDescent="0.25">
      <c r="B158" s="26" t="str">
        <f t="shared" si="3"/>
        <v>0000</v>
      </c>
      <c r="C158" s="26">
        <f t="shared" si="5"/>
        <v>0</v>
      </c>
      <c r="D158" s="26" t="str">
        <f t="shared" si="4"/>
        <v>0</v>
      </c>
      <c r="E158" s="24"/>
      <c r="F158" s="24"/>
      <c r="G158" s="24"/>
      <c r="H158" s="24"/>
    </row>
    <row r="159" spans="2:8" ht="15" x14ac:dyDescent="0.25">
      <c r="B159" s="26" t="str">
        <f t="shared" si="3"/>
        <v>0000</v>
      </c>
      <c r="C159" s="26">
        <f t="shared" si="5"/>
        <v>0</v>
      </c>
      <c r="D159" s="26" t="str">
        <f t="shared" si="4"/>
        <v>0</v>
      </c>
      <c r="E159" s="24"/>
      <c r="F159" s="24"/>
      <c r="G159" s="24"/>
      <c r="H159" s="24"/>
    </row>
    <row r="160" spans="2:8" ht="15" x14ac:dyDescent="0.25">
      <c r="B160" s="26" t="str">
        <f t="shared" si="3"/>
        <v>0000</v>
      </c>
      <c r="C160" s="26">
        <f t="shared" si="5"/>
        <v>0</v>
      </c>
      <c r="D160" s="26" t="str">
        <f t="shared" si="4"/>
        <v>0</v>
      </c>
      <c r="E160" s="24"/>
      <c r="F160" s="24"/>
      <c r="G160" s="24"/>
      <c r="H160" s="24"/>
    </row>
    <row r="161" spans="2:8" ht="15" x14ac:dyDescent="0.25">
      <c r="B161" s="26" t="str">
        <f t="shared" si="3"/>
        <v>0000</v>
      </c>
      <c r="C161" s="26">
        <f t="shared" si="5"/>
        <v>0</v>
      </c>
      <c r="D161" s="26" t="str">
        <f t="shared" si="4"/>
        <v>0</v>
      </c>
      <c r="E161" s="24"/>
      <c r="F161" s="24"/>
      <c r="G161" s="24"/>
      <c r="H161" s="24"/>
    </row>
    <row r="162" spans="2:8" ht="15" x14ac:dyDescent="0.25">
      <c r="B162" s="26" t="str">
        <f t="shared" si="3"/>
        <v>0000</v>
      </c>
      <c r="C162" s="26">
        <f t="shared" si="5"/>
        <v>0</v>
      </c>
      <c r="D162" s="26" t="str">
        <f t="shared" si="4"/>
        <v>0</v>
      </c>
      <c r="E162" s="24"/>
      <c r="F162" s="24"/>
      <c r="G162" s="24"/>
      <c r="H162" s="24"/>
    </row>
    <row r="163" spans="2:8" ht="15" x14ac:dyDescent="0.25">
      <c r="B163" s="26" t="str">
        <f t="shared" si="3"/>
        <v>0000</v>
      </c>
      <c r="C163" s="26">
        <f t="shared" si="5"/>
        <v>0</v>
      </c>
      <c r="D163" s="26" t="str">
        <f t="shared" si="4"/>
        <v>0</v>
      </c>
      <c r="E163" s="24"/>
      <c r="F163" s="24"/>
      <c r="G163" s="24"/>
      <c r="H163" s="24"/>
    </row>
    <row r="164" spans="2:8" ht="15" x14ac:dyDescent="0.25">
      <c r="B164" s="26" t="str">
        <f t="shared" si="3"/>
        <v>0000</v>
      </c>
      <c r="C164" s="26">
        <f t="shared" si="5"/>
        <v>0</v>
      </c>
      <c r="D164" s="26" t="str">
        <f t="shared" si="4"/>
        <v>0</v>
      </c>
      <c r="E164" s="24"/>
      <c r="F164" s="24"/>
      <c r="G164" s="24"/>
      <c r="H164" s="24"/>
    </row>
    <row r="165" spans="2:8" ht="15" x14ac:dyDescent="0.25">
      <c r="B165" s="26" t="str">
        <f t="shared" si="3"/>
        <v>0000</v>
      </c>
      <c r="C165" s="26">
        <f t="shared" si="5"/>
        <v>0</v>
      </c>
      <c r="D165" s="26" t="str">
        <f t="shared" si="4"/>
        <v>0</v>
      </c>
      <c r="E165" s="24"/>
      <c r="F165" s="24"/>
      <c r="G165" s="24"/>
      <c r="H165" s="24"/>
    </row>
    <row r="166" spans="2:8" ht="15" x14ac:dyDescent="0.25">
      <c r="B166" s="26" t="str">
        <f t="shared" si="3"/>
        <v>0000</v>
      </c>
      <c r="C166" s="26">
        <f t="shared" si="5"/>
        <v>0</v>
      </c>
      <c r="D166" s="26" t="str">
        <f t="shared" si="4"/>
        <v>0</v>
      </c>
      <c r="E166" s="24"/>
      <c r="F166" s="24"/>
      <c r="G166" s="24"/>
      <c r="H166" s="24"/>
    </row>
    <row r="167" spans="2:8" ht="15" x14ac:dyDescent="0.25">
      <c r="B167" s="26" t="str">
        <f t="shared" si="3"/>
        <v>0000</v>
      </c>
      <c r="C167" s="26">
        <f t="shared" si="5"/>
        <v>0</v>
      </c>
      <c r="D167" s="26" t="str">
        <f t="shared" si="4"/>
        <v>0</v>
      </c>
      <c r="E167" s="24"/>
      <c r="F167" s="24"/>
      <c r="G167" s="24"/>
      <c r="H167" s="24"/>
    </row>
    <row r="168" spans="2:8" ht="15" x14ac:dyDescent="0.25">
      <c r="B168" s="26" t="str">
        <f t="shared" si="3"/>
        <v>0000</v>
      </c>
      <c r="C168" s="26">
        <f t="shared" si="5"/>
        <v>0</v>
      </c>
      <c r="D168" s="26" t="str">
        <f t="shared" si="4"/>
        <v>0</v>
      </c>
      <c r="E168" s="24"/>
      <c r="F168" s="24"/>
      <c r="G168" s="24"/>
      <c r="H168" s="24"/>
    </row>
    <row r="169" spans="2:8" ht="15" x14ac:dyDescent="0.25">
      <c r="B169" s="26" t="str">
        <f t="shared" si="3"/>
        <v>0000</v>
      </c>
      <c r="C169" s="26">
        <f t="shared" si="5"/>
        <v>0</v>
      </c>
      <c r="D169" s="26" t="str">
        <f t="shared" si="4"/>
        <v>0</v>
      </c>
      <c r="E169" s="24"/>
      <c r="F169" s="24"/>
      <c r="G169" s="24"/>
      <c r="H169" s="24"/>
    </row>
    <row r="170" spans="2:8" ht="15" x14ac:dyDescent="0.25">
      <c r="B170" s="26" t="str">
        <f t="shared" si="3"/>
        <v>0000</v>
      </c>
      <c r="C170" s="26">
        <f t="shared" si="5"/>
        <v>0</v>
      </c>
      <c r="D170" s="26" t="str">
        <f t="shared" si="4"/>
        <v>0</v>
      </c>
      <c r="E170" s="24"/>
      <c r="F170" s="24"/>
      <c r="G170" s="24"/>
      <c r="H170" s="24"/>
    </row>
    <row r="171" spans="2:8" ht="15" x14ac:dyDescent="0.25">
      <c r="B171" s="26" t="str">
        <f t="shared" si="3"/>
        <v>0000</v>
      </c>
      <c r="C171" s="26">
        <f t="shared" si="5"/>
        <v>0</v>
      </c>
      <c r="D171" s="26" t="str">
        <f t="shared" si="4"/>
        <v>0</v>
      </c>
      <c r="E171" s="24"/>
      <c r="F171" s="24"/>
      <c r="G171" s="24"/>
      <c r="H171" s="24"/>
    </row>
    <row r="172" spans="2:8" ht="15" x14ac:dyDescent="0.25">
      <c r="B172" s="26" t="str">
        <f t="shared" si="3"/>
        <v>0000</v>
      </c>
      <c r="C172" s="26">
        <f t="shared" si="5"/>
        <v>0</v>
      </c>
      <c r="D172" s="26" t="str">
        <f t="shared" si="4"/>
        <v>0</v>
      </c>
      <c r="E172" s="24"/>
      <c r="F172" s="24"/>
      <c r="G172" s="24"/>
      <c r="H172" s="24"/>
    </row>
    <row r="173" spans="2:8" ht="15" x14ac:dyDescent="0.25">
      <c r="B173" s="26" t="str">
        <f t="shared" si="3"/>
        <v>0000</v>
      </c>
      <c r="C173" s="26">
        <f t="shared" si="5"/>
        <v>0</v>
      </c>
      <c r="D173" s="26" t="str">
        <f t="shared" si="4"/>
        <v>0</v>
      </c>
      <c r="E173" s="24"/>
      <c r="F173" s="24"/>
      <c r="G173" s="24"/>
      <c r="H173" s="24"/>
    </row>
    <row r="174" spans="2:8" ht="15" x14ac:dyDescent="0.25">
      <c r="B174" s="26" t="str">
        <f t="shared" si="3"/>
        <v>0000</v>
      </c>
      <c r="C174" s="26">
        <f t="shared" si="5"/>
        <v>0</v>
      </c>
      <c r="D174" s="26" t="str">
        <f t="shared" si="4"/>
        <v>0</v>
      </c>
      <c r="E174" s="24"/>
      <c r="F174" s="24"/>
      <c r="G174" s="24"/>
      <c r="H174" s="24"/>
    </row>
    <row r="175" spans="2:8" ht="15" x14ac:dyDescent="0.25">
      <c r="B175" s="26" t="str">
        <f t="shared" si="3"/>
        <v>0000</v>
      </c>
      <c r="C175" s="26">
        <f t="shared" si="5"/>
        <v>0</v>
      </c>
      <c r="D175" s="26" t="str">
        <f t="shared" si="4"/>
        <v>0</v>
      </c>
      <c r="E175" s="24"/>
      <c r="F175" s="24"/>
      <c r="G175" s="24"/>
      <c r="H175" s="24"/>
    </row>
    <row r="176" spans="2:8" ht="15" x14ac:dyDescent="0.25">
      <c r="B176" s="26" t="str">
        <f t="shared" si="3"/>
        <v>0000</v>
      </c>
      <c r="C176" s="26">
        <f t="shared" si="5"/>
        <v>0</v>
      </c>
      <c r="D176" s="26" t="str">
        <f t="shared" si="4"/>
        <v>0</v>
      </c>
      <c r="E176" s="24"/>
      <c r="F176" s="24"/>
      <c r="G176" s="24"/>
      <c r="H176" s="24"/>
    </row>
    <row r="177" spans="2:8" ht="15" x14ac:dyDescent="0.25">
      <c r="B177" s="26" t="str">
        <f t="shared" si="3"/>
        <v>0000</v>
      </c>
      <c r="C177" s="26">
        <f t="shared" si="5"/>
        <v>0</v>
      </c>
      <c r="D177" s="26" t="str">
        <f t="shared" si="4"/>
        <v>0</v>
      </c>
      <c r="E177" s="24"/>
      <c r="F177" s="24"/>
      <c r="G177" s="24"/>
      <c r="H177" s="24"/>
    </row>
    <row r="178" spans="2:8" ht="15" x14ac:dyDescent="0.25">
      <c r="B178" s="26" t="str">
        <f t="shared" si="3"/>
        <v>0000</v>
      </c>
      <c r="C178" s="26">
        <f t="shared" si="5"/>
        <v>0</v>
      </c>
      <c r="D178" s="26" t="str">
        <f t="shared" si="4"/>
        <v>0</v>
      </c>
      <c r="E178" s="24"/>
      <c r="F178" s="24"/>
      <c r="G178" s="24"/>
      <c r="H178" s="24"/>
    </row>
    <row r="179" spans="2:8" ht="15" x14ac:dyDescent="0.25">
      <c r="B179" s="26" t="str">
        <f t="shared" ref="B179:B242" si="6">DEC2BIN(C179,BAM_bits)</f>
        <v>0000</v>
      </c>
      <c r="C179" s="26">
        <f t="shared" si="5"/>
        <v>0</v>
      </c>
      <c r="D179" s="26" t="str">
        <f t="shared" si="4"/>
        <v>0</v>
      </c>
      <c r="E179" s="24"/>
      <c r="F179" s="24"/>
      <c r="G179" s="24"/>
      <c r="H179" s="24"/>
    </row>
    <row r="180" spans="2:8" ht="15" x14ac:dyDescent="0.25">
      <c r="B180" s="26" t="str">
        <f t="shared" si="6"/>
        <v>0000</v>
      </c>
      <c r="C180" s="26">
        <f t="shared" si="5"/>
        <v>0</v>
      </c>
      <c r="D180" s="26" t="str">
        <f t="shared" ref="D180:D243" si="7">DEC2HEX(C180)</f>
        <v>0</v>
      </c>
      <c r="E180" s="24"/>
      <c r="F180" s="24"/>
      <c r="G180" s="24"/>
      <c r="H180" s="24"/>
    </row>
    <row r="181" spans="2:8" ht="15" x14ac:dyDescent="0.25">
      <c r="B181" s="26" t="str">
        <f t="shared" si="6"/>
        <v>0000</v>
      </c>
      <c r="C181" s="26">
        <f t="shared" ref="C181:C244" si="8">IF(C180=0,0,IF(POWER(2,BAM_bits)-1&gt;C180,C180+1,0))</f>
        <v>0</v>
      </c>
      <c r="D181" s="26" t="str">
        <f t="shared" si="7"/>
        <v>0</v>
      </c>
      <c r="E181" s="24"/>
      <c r="F181" s="24"/>
      <c r="G181" s="24"/>
      <c r="H181" s="24"/>
    </row>
    <row r="182" spans="2:8" ht="15" x14ac:dyDescent="0.25">
      <c r="B182" s="26" t="str">
        <f t="shared" si="6"/>
        <v>0000</v>
      </c>
      <c r="C182" s="26">
        <f t="shared" si="8"/>
        <v>0</v>
      </c>
      <c r="D182" s="26" t="str">
        <f t="shared" si="7"/>
        <v>0</v>
      </c>
      <c r="E182" s="24"/>
      <c r="F182" s="24"/>
      <c r="G182" s="24"/>
      <c r="H182" s="24"/>
    </row>
    <row r="183" spans="2:8" ht="15" x14ac:dyDescent="0.25">
      <c r="B183" s="26" t="str">
        <f t="shared" si="6"/>
        <v>0000</v>
      </c>
      <c r="C183" s="26">
        <f t="shared" si="8"/>
        <v>0</v>
      </c>
      <c r="D183" s="26" t="str">
        <f t="shared" si="7"/>
        <v>0</v>
      </c>
      <c r="E183" s="24"/>
      <c r="F183" s="24"/>
      <c r="G183" s="24"/>
      <c r="H183" s="24"/>
    </row>
    <row r="184" spans="2:8" ht="15" x14ac:dyDescent="0.25">
      <c r="B184" s="26" t="str">
        <f t="shared" si="6"/>
        <v>0000</v>
      </c>
      <c r="C184" s="26">
        <f t="shared" si="8"/>
        <v>0</v>
      </c>
      <c r="D184" s="26" t="str">
        <f t="shared" si="7"/>
        <v>0</v>
      </c>
      <c r="E184" s="24"/>
      <c r="F184" s="24"/>
      <c r="G184" s="24"/>
      <c r="H184" s="24"/>
    </row>
    <row r="185" spans="2:8" ht="15" x14ac:dyDescent="0.25">
      <c r="B185" s="26" t="str">
        <f t="shared" si="6"/>
        <v>0000</v>
      </c>
      <c r="C185" s="26">
        <f t="shared" si="8"/>
        <v>0</v>
      </c>
      <c r="D185" s="26" t="str">
        <f t="shared" si="7"/>
        <v>0</v>
      </c>
      <c r="E185" s="24"/>
      <c r="F185" s="24"/>
      <c r="G185" s="24"/>
      <c r="H185" s="24"/>
    </row>
    <row r="186" spans="2:8" ht="15" x14ac:dyDescent="0.25">
      <c r="B186" s="26" t="str">
        <f t="shared" si="6"/>
        <v>0000</v>
      </c>
      <c r="C186" s="26">
        <f t="shared" si="8"/>
        <v>0</v>
      </c>
      <c r="D186" s="26" t="str">
        <f t="shared" si="7"/>
        <v>0</v>
      </c>
      <c r="E186" s="24"/>
      <c r="F186" s="24"/>
      <c r="G186" s="24"/>
      <c r="H186" s="24"/>
    </row>
    <row r="187" spans="2:8" ht="15" x14ac:dyDescent="0.25">
      <c r="B187" s="26" t="str">
        <f t="shared" si="6"/>
        <v>0000</v>
      </c>
      <c r="C187" s="26">
        <f t="shared" si="8"/>
        <v>0</v>
      </c>
      <c r="D187" s="26" t="str">
        <f t="shared" si="7"/>
        <v>0</v>
      </c>
      <c r="E187" s="24"/>
      <c r="F187" s="24"/>
      <c r="G187" s="24"/>
      <c r="H187" s="24"/>
    </row>
    <row r="188" spans="2:8" ht="15" x14ac:dyDescent="0.25">
      <c r="B188" s="26" t="str">
        <f t="shared" si="6"/>
        <v>0000</v>
      </c>
      <c r="C188" s="26">
        <f t="shared" si="8"/>
        <v>0</v>
      </c>
      <c r="D188" s="26" t="str">
        <f t="shared" si="7"/>
        <v>0</v>
      </c>
      <c r="E188" s="24"/>
      <c r="F188" s="24"/>
      <c r="G188" s="24"/>
      <c r="H188" s="24"/>
    </row>
    <row r="189" spans="2:8" ht="15" x14ac:dyDescent="0.25">
      <c r="B189" s="26" t="str">
        <f t="shared" si="6"/>
        <v>0000</v>
      </c>
      <c r="C189" s="26">
        <f t="shared" si="8"/>
        <v>0</v>
      </c>
      <c r="D189" s="26" t="str">
        <f t="shared" si="7"/>
        <v>0</v>
      </c>
      <c r="E189" s="24"/>
      <c r="F189" s="24"/>
      <c r="G189" s="24"/>
      <c r="H189" s="24"/>
    </row>
    <row r="190" spans="2:8" ht="15" x14ac:dyDescent="0.25">
      <c r="B190" s="26" t="str">
        <f t="shared" si="6"/>
        <v>0000</v>
      </c>
      <c r="C190" s="26">
        <f t="shared" si="8"/>
        <v>0</v>
      </c>
      <c r="D190" s="26" t="str">
        <f t="shared" si="7"/>
        <v>0</v>
      </c>
      <c r="E190" s="24"/>
      <c r="F190" s="24"/>
      <c r="G190" s="24"/>
      <c r="H190" s="24"/>
    </row>
    <row r="191" spans="2:8" ht="15" x14ac:dyDescent="0.25">
      <c r="B191" s="26" t="str">
        <f t="shared" si="6"/>
        <v>0000</v>
      </c>
      <c r="C191" s="26">
        <f t="shared" si="8"/>
        <v>0</v>
      </c>
      <c r="D191" s="26" t="str">
        <f t="shared" si="7"/>
        <v>0</v>
      </c>
      <c r="E191" s="24"/>
      <c r="F191" s="24"/>
      <c r="G191" s="24"/>
      <c r="H191" s="24"/>
    </row>
    <row r="192" spans="2:8" ht="15" x14ac:dyDescent="0.25">
      <c r="B192" s="26" t="str">
        <f t="shared" si="6"/>
        <v>0000</v>
      </c>
      <c r="C192" s="26">
        <f t="shared" si="8"/>
        <v>0</v>
      </c>
      <c r="D192" s="26" t="str">
        <f t="shared" si="7"/>
        <v>0</v>
      </c>
      <c r="E192" s="24"/>
      <c r="F192" s="24"/>
      <c r="G192" s="24"/>
      <c r="H192" s="24"/>
    </row>
    <row r="193" spans="2:8" ht="15" x14ac:dyDescent="0.25">
      <c r="B193" s="26" t="str">
        <f t="shared" si="6"/>
        <v>0000</v>
      </c>
      <c r="C193" s="26">
        <f t="shared" si="8"/>
        <v>0</v>
      </c>
      <c r="D193" s="26" t="str">
        <f t="shared" si="7"/>
        <v>0</v>
      </c>
      <c r="E193" s="24"/>
      <c r="F193" s="24"/>
      <c r="G193" s="24"/>
      <c r="H193" s="24"/>
    </row>
    <row r="194" spans="2:8" ht="15" x14ac:dyDescent="0.25">
      <c r="B194" s="26" t="str">
        <f t="shared" si="6"/>
        <v>0000</v>
      </c>
      <c r="C194" s="26">
        <f t="shared" si="8"/>
        <v>0</v>
      </c>
      <c r="D194" s="26" t="str">
        <f t="shared" si="7"/>
        <v>0</v>
      </c>
      <c r="E194" s="24"/>
      <c r="F194" s="24"/>
      <c r="G194" s="24"/>
      <c r="H194" s="24"/>
    </row>
    <row r="195" spans="2:8" ht="15" x14ac:dyDescent="0.25">
      <c r="B195" s="26" t="str">
        <f t="shared" si="6"/>
        <v>0000</v>
      </c>
      <c r="C195" s="26">
        <f t="shared" si="8"/>
        <v>0</v>
      </c>
      <c r="D195" s="26" t="str">
        <f t="shared" si="7"/>
        <v>0</v>
      </c>
      <c r="E195" s="24"/>
      <c r="F195" s="24"/>
      <c r="G195" s="24"/>
      <c r="H195" s="24"/>
    </row>
    <row r="196" spans="2:8" ht="15" x14ac:dyDescent="0.25">
      <c r="B196" s="26" t="str">
        <f t="shared" si="6"/>
        <v>0000</v>
      </c>
      <c r="C196" s="26">
        <f t="shared" si="8"/>
        <v>0</v>
      </c>
      <c r="D196" s="26" t="str">
        <f t="shared" si="7"/>
        <v>0</v>
      </c>
      <c r="E196" s="24"/>
      <c r="F196" s="24"/>
      <c r="G196" s="24"/>
      <c r="H196" s="24"/>
    </row>
    <row r="197" spans="2:8" ht="15" x14ac:dyDescent="0.25">
      <c r="B197" s="26" t="str">
        <f t="shared" si="6"/>
        <v>0000</v>
      </c>
      <c r="C197" s="26">
        <f t="shared" si="8"/>
        <v>0</v>
      </c>
      <c r="D197" s="26" t="str">
        <f t="shared" si="7"/>
        <v>0</v>
      </c>
      <c r="E197" s="24"/>
      <c r="F197" s="24"/>
      <c r="G197" s="24"/>
      <c r="H197" s="24"/>
    </row>
    <row r="198" spans="2:8" ht="15" x14ac:dyDescent="0.25">
      <c r="B198" s="26" t="str">
        <f t="shared" si="6"/>
        <v>0000</v>
      </c>
      <c r="C198" s="26">
        <f t="shared" si="8"/>
        <v>0</v>
      </c>
      <c r="D198" s="26" t="str">
        <f t="shared" si="7"/>
        <v>0</v>
      </c>
      <c r="E198" s="24"/>
      <c r="F198" s="24"/>
      <c r="G198" s="24"/>
      <c r="H198" s="24"/>
    </row>
    <row r="199" spans="2:8" ht="15" x14ac:dyDescent="0.25">
      <c r="B199" s="26" t="str">
        <f t="shared" si="6"/>
        <v>0000</v>
      </c>
      <c r="C199" s="26">
        <f t="shared" si="8"/>
        <v>0</v>
      </c>
      <c r="D199" s="26" t="str">
        <f t="shared" si="7"/>
        <v>0</v>
      </c>
      <c r="E199" s="24"/>
      <c r="F199" s="24"/>
      <c r="G199" s="24"/>
      <c r="H199" s="24"/>
    </row>
    <row r="200" spans="2:8" ht="15" x14ac:dyDescent="0.25">
      <c r="B200" s="26" t="str">
        <f t="shared" si="6"/>
        <v>0000</v>
      </c>
      <c r="C200" s="26">
        <f t="shared" si="8"/>
        <v>0</v>
      </c>
      <c r="D200" s="26" t="str">
        <f t="shared" si="7"/>
        <v>0</v>
      </c>
      <c r="E200" s="24"/>
      <c r="F200" s="24"/>
      <c r="G200" s="24"/>
      <c r="H200" s="24"/>
    </row>
    <row r="201" spans="2:8" ht="15" x14ac:dyDescent="0.25">
      <c r="B201" s="26" t="str">
        <f t="shared" si="6"/>
        <v>0000</v>
      </c>
      <c r="C201" s="26">
        <f t="shared" si="8"/>
        <v>0</v>
      </c>
      <c r="D201" s="26" t="str">
        <f t="shared" si="7"/>
        <v>0</v>
      </c>
      <c r="E201" s="24"/>
      <c r="F201" s="24"/>
      <c r="G201" s="24"/>
      <c r="H201" s="24"/>
    </row>
    <row r="202" spans="2:8" ht="15" x14ac:dyDescent="0.25">
      <c r="B202" s="26" t="str">
        <f t="shared" si="6"/>
        <v>0000</v>
      </c>
      <c r="C202" s="26">
        <f t="shared" si="8"/>
        <v>0</v>
      </c>
      <c r="D202" s="26" t="str">
        <f t="shared" si="7"/>
        <v>0</v>
      </c>
      <c r="E202" s="24"/>
      <c r="F202" s="24"/>
      <c r="G202" s="24"/>
      <c r="H202" s="24"/>
    </row>
    <row r="203" spans="2:8" ht="15" x14ac:dyDescent="0.25">
      <c r="B203" s="26" t="str">
        <f t="shared" si="6"/>
        <v>0000</v>
      </c>
      <c r="C203" s="26">
        <f t="shared" si="8"/>
        <v>0</v>
      </c>
      <c r="D203" s="26" t="str">
        <f t="shared" si="7"/>
        <v>0</v>
      </c>
      <c r="E203" s="24"/>
      <c r="F203" s="24"/>
      <c r="G203" s="24"/>
      <c r="H203" s="24"/>
    </row>
    <row r="204" spans="2:8" ht="15" x14ac:dyDescent="0.25">
      <c r="B204" s="26" t="str">
        <f t="shared" si="6"/>
        <v>0000</v>
      </c>
      <c r="C204" s="26">
        <f t="shared" si="8"/>
        <v>0</v>
      </c>
      <c r="D204" s="26" t="str">
        <f t="shared" si="7"/>
        <v>0</v>
      </c>
      <c r="E204" s="24"/>
      <c r="F204" s="24"/>
      <c r="G204" s="24"/>
      <c r="H204" s="24"/>
    </row>
    <row r="205" spans="2:8" ht="15" x14ac:dyDescent="0.25">
      <c r="B205" s="26" t="str">
        <f t="shared" si="6"/>
        <v>0000</v>
      </c>
      <c r="C205" s="26">
        <f t="shared" si="8"/>
        <v>0</v>
      </c>
      <c r="D205" s="26" t="str">
        <f t="shared" si="7"/>
        <v>0</v>
      </c>
      <c r="E205" s="24"/>
      <c r="F205" s="24"/>
      <c r="G205" s="24"/>
      <c r="H205" s="24"/>
    </row>
    <row r="206" spans="2:8" ht="15" x14ac:dyDescent="0.25">
      <c r="B206" s="26" t="str">
        <f t="shared" si="6"/>
        <v>0000</v>
      </c>
      <c r="C206" s="26">
        <f t="shared" si="8"/>
        <v>0</v>
      </c>
      <c r="D206" s="26" t="str">
        <f t="shared" si="7"/>
        <v>0</v>
      </c>
      <c r="E206" s="24"/>
      <c r="F206" s="24"/>
      <c r="G206" s="24"/>
      <c r="H206" s="24"/>
    </row>
    <row r="207" spans="2:8" ht="15" x14ac:dyDescent="0.25">
      <c r="B207" s="26" t="str">
        <f t="shared" si="6"/>
        <v>0000</v>
      </c>
      <c r="C207" s="26">
        <f t="shared" si="8"/>
        <v>0</v>
      </c>
      <c r="D207" s="26" t="str">
        <f t="shared" si="7"/>
        <v>0</v>
      </c>
      <c r="E207" s="24"/>
      <c r="F207" s="24"/>
      <c r="G207" s="24"/>
      <c r="H207" s="24"/>
    </row>
    <row r="208" spans="2:8" ht="15" x14ac:dyDescent="0.25">
      <c r="B208" s="26" t="str">
        <f t="shared" si="6"/>
        <v>0000</v>
      </c>
      <c r="C208" s="26">
        <f t="shared" si="8"/>
        <v>0</v>
      </c>
      <c r="D208" s="26" t="str">
        <f t="shared" si="7"/>
        <v>0</v>
      </c>
      <c r="E208" s="24"/>
      <c r="F208" s="24"/>
      <c r="G208" s="24"/>
      <c r="H208" s="24"/>
    </row>
    <row r="209" spans="2:8" ht="15" x14ac:dyDescent="0.25">
      <c r="B209" s="26" t="str">
        <f t="shared" si="6"/>
        <v>0000</v>
      </c>
      <c r="C209" s="26">
        <f t="shared" si="8"/>
        <v>0</v>
      </c>
      <c r="D209" s="26" t="str">
        <f t="shared" si="7"/>
        <v>0</v>
      </c>
      <c r="E209" s="24"/>
      <c r="F209" s="24"/>
      <c r="G209" s="24"/>
      <c r="H209" s="24"/>
    </row>
    <row r="210" spans="2:8" ht="15" x14ac:dyDescent="0.25">
      <c r="B210" s="26" t="str">
        <f t="shared" si="6"/>
        <v>0000</v>
      </c>
      <c r="C210" s="26">
        <f t="shared" si="8"/>
        <v>0</v>
      </c>
      <c r="D210" s="26" t="str">
        <f t="shared" si="7"/>
        <v>0</v>
      </c>
      <c r="E210" s="24"/>
      <c r="F210" s="24"/>
      <c r="G210" s="24"/>
      <c r="H210" s="24"/>
    </row>
    <row r="211" spans="2:8" ht="15" x14ac:dyDescent="0.25">
      <c r="B211" s="26" t="str">
        <f t="shared" si="6"/>
        <v>0000</v>
      </c>
      <c r="C211" s="26">
        <f t="shared" si="8"/>
        <v>0</v>
      </c>
      <c r="D211" s="26" t="str">
        <f t="shared" si="7"/>
        <v>0</v>
      </c>
      <c r="E211" s="24"/>
      <c r="F211" s="24"/>
      <c r="G211" s="24"/>
      <c r="H211" s="24"/>
    </row>
    <row r="212" spans="2:8" ht="15" x14ac:dyDescent="0.25">
      <c r="B212" s="26" t="str">
        <f t="shared" si="6"/>
        <v>0000</v>
      </c>
      <c r="C212" s="26">
        <f t="shared" si="8"/>
        <v>0</v>
      </c>
      <c r="D212" s="26" t="str">
        <f t="shared" si="7"/>
        <v>0</v>
      </c>
      <c r="E212" s="24"/>
      <c r="F212" s="24"/>
      <c r="G212" s="24"/>
      <c r="H212" s="24"/>
    </row>
    <row r="213" spans="2:8" ht="15" x14ac:dyDescent="0.25">
      <c r="B213" s="26" t="str">
        <f t="shared" si="6"/>
        <v>0000</v>
      </c>
      <c r="C213" s="26">
        <f t="shared" si="8"/>
        <v>0</v>
      </c>
      <c r="D213" s="26" t="str">
        <f t="shared" si="7"/>
        <v>0</v>
      </c>
      <c r="E213" s="24"/>
      <c r="F213" s="24"/>
      <c r="G213" s="24"/>
      <c r="H213" s="24"/>
    </row>
    <row r="214" spans="2:8" ht="15" x14ac:dyDescent="0.25">
      <c r="B214" s="26" t="str">
        <f t="shared" si="6"/>
        <v>0000</v>
      </c>
      <c r="C214" s="26">
        <f t="shared" si="8"/>
        <v>0</v>
      </c>
      <c r="D214" s="26" t="str">
        <f t="shared" si="7"/>
        <v>0</v>
      </c>
      <c r="E214" s="24"/>
      <c r="F214" s="24"/>
      <c r="G214" s="24"/>
      <c r="H214" s="24"/>
    </row>
    <row r="215" spans="2:8" ht="15" x14ac:dyDescent="0.25">
      <c r="B215" s="26" t="str">
        <f t="shared" si="6"/>
        <v>0000</v>
      </c>
      <c r="C215" s="26">
        <f t="shared" si="8"/>
        <v>0</v>
      </c>
      <c r="D215" s="26" t="str">
        <f t="shared" si="7"/>
        <v>0</v>
      </c>
      <c r="E215" s="24"/>
      <c r="F215" s="24"/>
      <c r="G215" s="24"/>
      <c r="H215" s="24"/>
    </row>
    <row r="216" spans="2:8" ht="15" x14ac:dyDescent="0.25">
      <c r="B216" s="26" t="str">
        <f t="shared" si="6"/>
        <v>0000</v>
      </c>
      <c r="C216" s="26">
        <f t="shared" si="8"/>
        <v>0</v>
      </c>
      <c r="D216" s="26" t="str">
        <f t="shared" si="7"/>
        <v>0</v>
      </c>
      <c r="E216" s="24"/>
      <c r="F216" s="24"/>
      <c r="G216" s="24"/>
      <c r="H216" s="24"/>
    </row>
    <row r="217" spans="2:8" ht="15" x14ac:dyDescent="0.25">
      <c r="B217" s="26" t="str">
        <f t="shared" si="6"/>
        <v>0000</v>
      </c>
      <c r="C217" s="26">
        <f t="shared" si="8"/>
        <v>0</v>
      </c>
      <c r="D217" s="26" t="str">
        <f t="shared" si="7"/>
        <v>0</v>
      </c>
      <c r="E217" s="24"/>
      <c r="F217" s="24"/>
      <c r="G217" s="24"/>
      <c r="H217" s="24"/>
    </row>
    <row r="218" spans="2:8" ht="15" x14ac:dyDescent="0.25">
      <c r="B218" s="26" t="str">
        <f t="shared" si="6"/>
        <v>0000</v>
      </c>
      <c r="C218" s="26">
        <f t="shared" si="8"/>
        <v>0</v>
      </c>
      <c r="D218" s="26" t="str">
        <f t="shared" si="7"/>
        <v>0</v>
      </c>
      <c r="E218" s="24"/>
      <c r="F218" s="24"/>
      <c r="G218" s="24"/>
      <c r="H218" s="24"/>
    </row>
    <row r="219" spans="2:8" ht="15" x14ac:dyDescent="0.25">
      <c r="B219" s="26" t="str">
        <f t="shared" si="6"/>
        <v>0000</v>
      </c>
      <c r="C219" s="26">
        <f t="shared" si="8"/>
        <v>0</v>
      </c>
      <c r="D219" s="26" t="str">
        <f t="shared" si="7"/>
        <v>0</v>
      </c>
      <c r="E219" s="24"/>
      <c r="F219" s="24"/>
      <c r="G219" s="24"/>
      <c r="H219" s="24"/>
    </row>
    <row r="220" spans="2:8" ht="15" x14ac:dyDescent="0.25">
      <c r="B220" s="26" t="str">
        <f t="shared" si="6"/>
        <v>0000</v>
      </c>
      <c r="C220" s="26">
        <f t="shared" si="8"/>
        <v>0</v>
      </c>
      <c r="D220" s="26" t="str">
        <f t="shared" si="7"/>
        <v>0</v>
      </c>
      <c r="E220" s="24"/>
      <c r="F220" s="24"/>
      <c r="G220" s="24"/>
      <c r="H220" s="24"/>
    </row>
    <row r="221" spans="2:8" ht="15" x14ac:dyDescent="0.25">
      <c r="B221" s="26" t="str">
        <f t="shared" si="6"/>
        <v>0000</v>
      </c>
      <c r="C221" s="26">
        <f t="shared" si="8"/>
        <v>0</v>
      </c>
      <c r="D221" s="26" t="str">
        <f t="shared" si="7"/>
        <v>0</v>
      </c>
      <c r="E221" s="24"/>
      <c r="F221" s="24"/>
      <c r="G221" s="24"/>
      <c r="H221" s="24"/>
    </row>
    <row r="222" spans="2:8" ht="15" x14ac:dyDescent="0.25">
      <c r="B222" s="26" t="str">
        <f t="shared" si="6"/>
        <v>0000</v>
      </c>
      <c r="C222" s="26">
        <f t="shared" si="8"/>
        <v>0</v>
      </c>
      <c r="D222" s="26" t="str">
        <f t="shared" si="7"/>
        <v>0</v>
      </c>
      <c r="E222" s="24"/>
      <c r="F222" s="24"/>
      <c r="G222" s="24"/>
      <c r="H222" s="24"/>
    </row>
    <row r="223" spans="2:8" ht="15" x14ac:dyDescent="0.25">
      <c r="B223" s="26" t="str">
        <f t="shared" si="6"/>
        <v>0000</v>
      </c>
      <c r="C223" s="26">
        <f t="shared" si="8"/>
        <v>0</v>
      </c>
      <c r="D223" s="26" t="str">
        <f t="shared" si="7"/>
        <v>0</v>
      </c>
      <c r="E223" s="24"/>
      <c r="F223" s="24"/>
      <c r="G223" s="24"/>
      <c r="H223" s="24"/>
    </row>
    <row r="224" spans="2:8" ht="15" x14ac:dyDescent="0.25">
      <c r="B224" s="26" t="str">
        <f t="shared" si="6"/>
        <v>0000</v>
      </c>
      <c r="C224" s="26">
        <f t="shared" si="8"/>
        <v>0</v>
      </c>
      <c r="D224" s="26" t="str">
        <f t="shared" si="7"/>
        <v>0</v>
      </c>
      <c r="E224" s="24"/>
      <c r="F224" s="24"/>
      <c r="G224" s="24"/>
      <c r="H224" s="24"/>
    </row>
    <row r="225" spans="2:8" ht="15" x14ac:dyDescent="0.25">
      <c r="B225" s="26" t="str">
        <f t="shared" si="6"/>
        <v>0000</v>
      </c>
      <c r="C225" s="26">
        <f t="shared" si="8"/>
        <v>0</v>
      </c>
      <c r="D225" s="26" t="str">
        <f t="shared" si="7"/>
        <v>0</v>
      </c>
      <c r="E225" s="24"/>
      <c r="F225" s="24"/>
      <c r="G225" s="24"/>
      <c r="H225" s="24"/>
    </row>
    <row r="226" spans="2:8" ht="15" x14ac:dyDescent="0.25">
      <c r="B226" s="26" t="str">
        <f t="shared" si="6"/>
        <v>0000</v>
      </c>
      <c r="C226" s="26">
        <f t="shared" si="8"/>
        <v>0</v>
      </c>
      <c r="D226" s="26" t="str">
        <f t="shared" si="7"/>
        <v>0</v>
      </c>
      <c r="E226" s="24"/>
      <c r="F226" s="24"/>
      <c r="G226" s="24"/>
      <c r="H226" s="24"/>
    </row>
    <row r="227" spans="2:8" ht="15" x14ac:dyDescent="0.25">
      <c r="B227" s="26" t="str">
        <f t="shared" si="6"/>
        <v>0000</v>
      </c>
      <c r="C227" s="26">
        <f t="shared" si="8"/>
        <v>0</v>
      </c>
      <c r="D227" s="26" t="str">
        <f t="shared" si="7"/>
        <v>0</v>
      </c>
      <c r="E227" s="24"/>
      <c r="F227" s="24"/>
      <c r="G227" s="24"/>
      <c r="H227" s="24"/>
    </row>
    <row r="228" spans="2:8" ht="15" x14ac:dyDescent="0.25">
      <c r="B228" s="26" t="str">
        <f t="shared" si="6"/>
        <v>0000</v>
      </c>
      <c r="C228" s="26">
        <f t="shared" si="8"/>
        <v>0</v>
      </c>
      <c r="D228" s="26" t="str">
        <f t="shared" si="7"/>
        <v>0</v>
      </c>
      <c r="E228" s="24"/>
      <c r="F228" s="24"/>
      <c r="G228" s="24"/>
      <c r="H228" s="24"/>
    </row>
    <row r="229" spans="2:8" ht="15" x14ac:dyDescent="0.25">
      <c r="B229" s="26" t="str">
        <f t="shared" si="6"/>
        <v>0000</v>
      </c>
      <c r="C229" s="26">
        <f t="shared" si="8"/>
        <v>0</v>
      </c>
      <c r="D229" s="26" t="str">
        <f t="shared" si="7"/>
        <v>0</v>
      </c>
      <c r="E229" s="24"/>
      <c r="F229" s="24"/>
      <c r="G229" s="24"/>
      <c r="H229" s="24"/>
    </row>
    <row r="230" spans="2:8" ht="15" x14ac:dyDescent="0.25">
      <c r="B230" s="26" t="str">
        <f t="shared" si="6"/>
        <v>0000</v>
      </c>
      <c r="C230" s="26">
        <f t="shared" si="8"/>
        <v>0</v>
      </c>
      <c r="D230" s="26" t="str">
        <f t="shared" si="7"/>
        <v>0</v>
      </c>
      <c r="E230" s="24"/>
      <c r="F230" s="24"/>
      <c r="G230" s="24"/>
      <c r="H230" s="24"/>
    </row>
    <row r="231" spans="2:8" ht="15" x14ac:dyDescent="0.25">
      <c r="B231" s="26" t="str">
        <f t="shared" si="6"/>
        <v>0000</v>
      </c>
      <c r="C231" s="26">
        <f t="shared" si="8"/>
        <v>0</v>
      </c>
      <c r="D231" s="26" t="str">
        <f t="shared" si="7"/>
        <v>0</v>
      </c>
      <c r="E231" s="24"/>
      <c r="F231" s="24"/>
      <c r="G231" s="24"/>
      <c r="H231" s="24"/>
    </row>
    <row r="232" spans="2:8" ht="15" x14ac:dyDescent="0.25">
      <c r="B232" s="26" t="str">
        <f t="shared" si="6"/>
        <v>0000</v>
      </c>
      <c r="C232" s="26">
        <f t="shared" si="8"/>
        <v>0</v>
      </c>
      <c r="D232" s="26" t="str">
        <f t="shared" si="7"/>
        <v>0</v>
      </c>
      <c r="E232" s="24"/>
      <c r="F232" s="24"/>
      <c r="G232" s="24"/>
      <c r="H232" s="24"/>
    </row>
    <row r="233" spans="2:8" ht="15" x14ac:dyDescent="0.25">
      <c r="B233" s="26" t="str">
        <f t="shared" si="6"/>
        <v>0000</v>
      </c>
      <c r="C233" s="26">
        <f t="shared" si="8"/>
        <v>0</v>
      </c>
      <c r="D233" s="26" t="str">
        <f t="shared" si="7"/>
        <v>0</v>
      </c>
      <c r="E233" s="24"/>
      <c r="F233" s="24"/>
      <c r="G233" s="24"/>
      <c r="H233" s="24"/>
    </row>
    <row r="234" spans="2:8" ht="15" x14ac:dyDescent="0.25">
      <c r="B234" s="26" t="str">
        <f t="shared" si="6"/>
        <v>0000</v>
      </c>
      <c r="C234" s="26">
        <f t="shared" si="8"/>
        <v>0</v>
      </c>
      <c r="D234" s="26" t="str">
        <f t="shared" si="7"/>
        <v>0</v>
      </c>
      <c r="E234" s="24"/>
      <c r="F234" s="24"/>
      <c r="G234" s="24"/>
      <c r="H234" s="24"/>
    </row>
    <row r="235" spans="2:8" ht="15" x14ac:dyDescent="0.25">
      <c r="B235" s="26" t="str">
        <f t="shared" si="6"/>
        <v>0000</v>
      </c>
      <c r="C235" s="26">
        <f t="shared" si="8"/>
        <v>0</v>
      </c>
      <c r="D235" s="26" t="str">
        <f t="shared" si="7"/>
        <v>0</v>
      </c>
      <c r="E235" s="24"/>
      <c r="F235" s="24"/>
      <c r="G235" s="24"/>
      <c r="H235" s="24"/>
    </row>
    <row r="236" spans="2:8" ht="15" x14ac:dyDescent="0.25">
      <c r="B236" s="26" t="str">
        <f t="shared" si="6"/>
        <v>0000</v>
      </c>
      <c r="C236" s="26">
        <f t="shared" si="8"/>
        <v>0</v>
      </c>
      <c r="D236" s="26" t="str">
        <f t="shared" si="7"/>
        <v>0</v>
      </c>
      <c r="E236" s="24"/>
      <c r="F236" s="24"/>
      <c r="G236" s="24"/>
      <c r="H236" s="24"/>
    </row>
    <row r="237" spans="2:8" ht="15" x14ac:dyDescent="0.25">
      <c r="B237" s="26" t="str">
        <f t="shared" si="6"/>
        <v>0000</v>
      </c>
      <c r="C237" s="26">
        <f t="shared" si="8"/>
        <v>0</v>
      </c>
      <c r="D237" s="26" t="str">
        <f t="shared" si="7"/>
        <v>0</v>
      </c>
      <c r="E237" s="24"/>
      <c r="F237" s="24"/>
      <c r="G237" s="24"/>
      <c r="H237" s="24"/>
    </row>
    <row r="238" spans="2:8" ht="15" x14ac:dyDescent="0.25">
      <c r="B238" s="26" t="str">
        <f t="shared" si="6"/>
        <v>0000</v>
      </c>
      <c r="C238" s="26">
        <f t="shared" si="8"/>
        <v>0</v>
      </c>
      <c r="D238" s="26" t="str">
        <f t="shared" si="7"/>
        <v>0</v>
      </c>
      <c r="E238" s="24"/>
      <c r="F238" s="24"/>
      <c r="G238" s="24"/>
      <c r="H238" s="24"/>
    </row>
    <row r="239" spans="2:8" ht="15" x14ac:dyDescent="0.25">
      <c r="B239" s="26" t="str">
        <f t="shared" si="6"/>
        <v>0000</v>
      </c>
      <c r="C239" s="26">
        <f t="shared" si="8"/>
        <v>0</v>
      </c>
      <c r="D239" s="26" t="str">
        <f t="shared" si="7"/>
        <v>0</v>
      </c>
      <c r="E239" s="24"/>
      <c r="F239" s="24"/>
      <c r="G239" s="24"/>
      <c r="H239" s="24"/>
    </row>
    <row r="240" spans="2:8" ht="15" x14ac:dyDescent="0.25">
      <c r="B240" s="26" t="str">
        <f t="shared" si="6"/>
        <v>0000</v>
      </c>
      <c r="C240" s="26">
        <f t="shared" si="8"/>
        <v>0</v>
      </c>
      <c r="D240" s="26" t="str">
        <f t="shared" si="7"/>
        <v>0</v>
      </c>
      <c r="E240" s="24"/>
      <c r="F240" s="24"/>
      <c r="G240" s="24"/>
      <c r="H240" s="24"/>
    </row>
    <row r="241" spans="2:8" ht="15" x14ac:dyDescent="0.25">
      <c r="B241" s="26" t="str">
        <f t="shared" si="6"/>
        <v>0000</v>
      </c>
      <c r="C241" s="26">
        <f t="shared" si="8"/>
        <v>0</v>
      </c>
      <c r="D241" s="26" t="str">
        <f t="shared" si="7"/>
        <v>0</v>
      </c>
      <c r="E241" s="24"/>
      <c r="F241" s="24"/>
      <c r="G241" s="24"/>
      <c r="H241" s="24"/>
    </row>
    <row r="242" spans="2:8" ht="15" x14ac:dyDescent="0.25">
      <c r="B242" s="26" t="str">
        <f t="shared" si="6"/>
        <v>0000</v>
      </c>
      <c r="C242" s="26">
        <f t="shared" si="8"/>
        <v>0</v>
      </c>
      <c r="D242" s="26" t="str">
        <f t="shared" si="7"/>
        <v>0</v>
      </c>
      <c r="E242" s="24"/>
      <c r="F242" s="24"/>
      <c r="G242" s="24"/>
      <c r="H242" s="24"/>
    </row>
    <row r="243" spans="2:8" ht="15" x14ac:dyDescent="0.25">
      <c r="B243" s="26" t="str">
        <f t="shared" ref="B243:B306" si="9">DEC2BIN(C243,BAM_bits)</f>
        <v>0000</v>
      </c>
      <c r="C243" s="26">
        <f t="shared" si="8"/>
        <v>0</v>
      </c>
      <c r="D243" s="26" t="str">
        <f t="shared" si="7"/>
        <v>0</v>
      </c>
      <c r="E243" s="24"/>
      <c r="F243" s="24"/>
      <c r="G243" s="24"/>
      <c r="H243" s="24"/>
    </row>
    <row r="244" spans="2:8" ht="15" x14ac:dyDescent="0.25">
      <c r="B244" s="26" t="str">
        <f t="shared" si="9"/>
        <v>0000</v>
      </c>
      <c r="C244" s="26">
        <f t="shared" si="8"/>
        <v>0</v>
      </c>
      <c r="D244" s="26" t="str">
        <f t="shared" ref="D244:D306" si="10">DEC2HEX(C244)</f>
        <v>0</v>
      </c>
      <c r="E244" s="24"/>
      <c r="F244" s="24"/>
      <c r="G244" s="24"/>
      <c r="H244" s="24"/>
    </row>
    <row r="245" spans="2:8" ht="15" x14ac:dyDescent="0.25">
      <c r="B245" s="26" t="str">
        <f t="shared" si="9"/>
        <v>0000</v>
      </c>
      <c r="C245" s="26">
        <f t="shared" ref="C245:C306" si="11">IF(C244=0,0,IF(POWER(2,BAM_bits)-1&gt;C244,C244+1,0))</f>
        <v>0</v>
      </c>
      <c r="D245" s="26" t="str">
        <f t="shared" si="10"/>
        <v>0</v>
      </c>
      <c r="E245" s="24"/>
      <c r="F245" s="24"/>
      <c r="G245" s="24"/>
      <c r="H245" s="24"/>
    </row>
    <row r="246" spans="2:8" ht="15" x14ac:dyDescent="0.25">
      <c r="B246" s="26" t="str">
        <f t="shared" si="9"/>
        <v>0000</v>
      </c>
      <c r="C246" s="26">
        <f t="shared" si="11"/>
        <v>0</v>
      </c>
      <c r="D246" s="26" t="str">
        <f t="shared" si="10"/>
        <v>0</v>
      </c>
      <c r="E246" s="24"/>
      <c r="F246" s="24"/>
      <c r="G246" s="24"/>
      <c r="H246" s="24"/>
    </row>
    <row r="247" spans="2:8" ht="15" x14ac:dyDescent="0.25">
      <c r="B247" s="26" t="str">
        <f t="shared" si="9"/>
        <v>0000</v>
      </c>
      <c r="C247" s="26">
        <f t="shared" si="11"/>
        <v>0</v>
      </c>
      <c r="D247" s="26" t="str">
        <f t="shared" si="10"/>
        <v>0</v>
      </c>
      <c r="E247" s="24"/>
      <c r="F247" s="24"/>
      <c r="G247" s="24"/>
      <c r="H247" s="24"/>
    </row>
    <row r="248" spans="2:8" ht="15" x14ac:dyDescent="0.25">
      <c r="B248" s="26" t="str">
        <f t="shared" si="9"/>
        <v>0000</v>
      </c>
      <c r="C248" s="26">
        <f t="shared" si="11"/>
        <v>0</v>
      </c>
      <c r="D248" s="26" t="str">
        <f t="shared" si="10"/>
        <v>0</v>
      </c>
      <c r="E248" s="24"/>
      <c r="F248" s="24"/>
      <c r="G248" s="24"/>
      <c r="H248" s="24"/>
    </row>
    <row r="249" spans="2:8" ht="15" x14ac:dyDescent="0.25">
      <c r="B249" s="26" t="str">
        <f t="shared" si="9"/>
        <v>0000</v>
      </c>
      <c r="C249" s="26">
        <f t="shared" si="11"/>
        <v>0</v>
      </c>
      <c r="D249" s="26" t="str">
        <f t="shared" si="10"/>
        <v>0</v>
      </c>
      <c r="E249" s="24"/>
      <c r="F249" s="24"/>
      <c r="G249" s="24"/>
      <c r="H249" s="24"/>
    </row>
    <row r="250" spans="2:8" ht="15" x14ac:dyDescent="0.25">
      <c r="B250" s="26" t="str">
        <f t="shared" si="9"/>
        <v>0000</v>
      </c>
      <c r="C250" s="26">
        <f t="shared" si="11"/>
        <v>0</v>
      </c>
      <c r="D250" s="26" t="str">
        <f t="shared" si="10"/>
        <v>0</v>
      </c>
      <c r="E250" s="24"/>
      <c r="F250" s="24"/>
      <c r="G250" s="24"/>
      <c r="H250" s="24"/>
    </row>
    <row r="251" spans="2:8" ht="15" x14ac:dyDescent="0.25">
      <c r="B251" s="26" t="str">
        <f t="shared" si="9"/>
        <v>0000</v>
      </c>
      <c r="C251" s="26">
        <f t="shared" si="11"/>
        <v>0</v>
      </c>
      <c r="D251" s="26" t="str">
        <f t="shared" si="10"/>
        <v>0</v>
      </c>
      <c r="E251" s="24"/>
      <c r="F251" s="24"/>
      <c r="G251" s="24"/>
      <c r="H251" s="24"/>
    </row>
    <row r="252" spans="2:8" ht="15" x14ac:dyDescent="0.25">
      <c r="B252" s="26" t="str">
        <f t="shared" si="9"/>
        <v>0000</v>
      </c>
      <c r="C252" s="26">
        <f t="shared" si="11"/>
        <v>0</v>
      </c>
      <c r="D252" s="26" t="str">
        <f t="shared" si="10"/>
        <v>0</v>
      </c>
      <c r="E252" s="24"/>
      <c r="F252" s="24"/>
      <c r="G252" s="24"/>
      <c r="H252" s="24"/>
    </row>
    <row r="253" spans="2:8" ht="15" x14ac:dyDescent="0.25">
      <c r="B253" s="26" t="str">
        <f t="shared" si="9"/>
        <v>0000</v>
      </c>
      <c r="C253" s="26">
        <f t="shared" si="11"/>
        <v>0</v>
      </c>
      <c r="D253" s="26" t="str">
        <f t="shared" si="10"/>
        <v>0</v>
      </c>
      <c r="E253" s="24"/>
      <c r="F253" s="24"/>
      <c r="G253" s="24"/>
      <c r="H253" s="24"/>
    </row>
    <row r="254" spans="2:8" ht="15" x14ac:dyDescent="0.25">
      <c r="B254" s="26" t="str">
        <f t="shared" si="9"/>
        <v>0000</v>
      </c>
      <c r="C254" s="26">
        <f t="shared" si="11"/>
        <v>0</v>
      </c>
      <c r="D254" s="26" t="str">
        <f t="shared" si="10"/>
        <v>0</v>
      </c>
      <c r="E254" s="24"/>
      <c r="F254" s="24"/>
      <c r="G254" s="24"/>
      <c r="H254" s="24"/>
    </row>
    <row r="255" spans="2:8" ht="15" x14ac:dyDescent="0.25">
      <c r="B255" s="26" t="str">
        <f t="shared" si="9"/>
        <v>0000</v>
      </c>
      <c r="C255" s="26">
        <f t="shared" si="11"/>
        <v>0</v>
      </c>
      <c r="D255" s="26" t="str">
        <f t="shared" si="10"/>
        <v>0</v>
      </c>
      <c r="E255" s="24"/>
      <c r="F255" s="24"/>
      <c r="G255" s="24"/>
      <c r="H255" s="24"/>
    </row>
    <row r="256" spans="2:8" ht="15" x14ac:dyDescent="0.25">
      <c r="B256" s="26" t="str">
        <f t="shared" si="9"/>
        <v>0000</v>
      </c>
      <c r="C256" s="26">
        <f t="shared" si="11"/>
        <v>0</v>
      </c>
      <c r="D256" s="26" t="str">
        <f t="shared" si="10"/>
        <v>0</v>
      </c>
      <c r="E256" s="24"/>
      <c r="F256" s="24"/>
      <c r="G256" s="24"/>
      <c r="H256" s="24"/>
    </row>
    <row r="257" spans="2:8" ht="15" x14ac:dyDescent="0.25">
      <c r="B257" s="26" t="str">
        <f t="shared" si="9"/>
        <v>0000</v>
      </c>
      <c r="C257" s="26">
        <f t="shared" si="11"/>
        <v>0</v>
      </c>
      <c r="D257" s="26" t="str">
        <f t="shared" si="10"/>
        <v>0</v>
      </c>
      <c r="E257" s="24"/>
      <c r="F257" s="24"/>
      <c r="G257" s="24"/>
      <c r="H257" s="24"/>
    </row>
    <row r="258" spans="2:8" ht="15" x14ac:dyDescent="0.25">
      <c r="B258" s="26" t="str">
        <f t="shared" si="9"/>
        <v>0000</v>
      </c>
      <c r="C258" s="26">
        <f t="shared" si="11"/>
        <v>0</v>
      </c>
      <c r="D258" s="26" t="str">
        <f t="shared" si="10"/>
        <v>0</v>
      </c>
      <c r="E258" s="24"/>
      <c r="F258" s="24"/>
      <c r="G258" s="24"/>
      <c r="H258" s="24"/>
    </row>
    <row r="259" spans="2:8" ht="15" x14ac:dyDescent="0.25">
      <c r="B259" s="26" t="str">
        <f t="shared" si="9"/>
        <v>0000</v>
      </c>
      <c r="C259" s="26">
        <f t="shared" si="11"/>
        <v>0</v>
      </c>
      <c r="D259" s="26" t="str">
        <f t="shared" si="10"/>
        <v>0</v>
      </c>
      <c r="E259" s="24"/>
      <c r="F259" s="24"/>
      <c r="G259" s="24"/>
      <c r="H259" s="24"/>
    </row>
    <row r="260" spans="2:8" ht="15" x14ac:dyDescent="0.25">
      <c r="B260" s="26" t="str">
        <f t="shared" si="9"/>
        <v>0000</v>
      </c>
      <c r="C260" s="26">
        <f t="shared" si="11"/>
        <v>0</v>
      </c>
      <c r="D260" s="26" t="str">
        <f t="shared" si="10"/>
        <v>0</v>
      </c>
      <c r="E260" s="24"/>
      <c r="F260" s="24"/>
      <c r="G260" s="24"/>
      <c r="H260" s="24"/>
    </row>
    <row r="261" spans="2:8" ht="15" x14ac:dyDescent="0.25">
      <c r="B261" s="26" t="str">
        <f t="shared" si="9"/>
        <v>0000</v>
      </c>
      <c r="C261" s="26">
        <f t="shared" si="11"/>
        <v>0</v>
      </c>
      <c r="D261" s="26" t="str">
        <f t="shared" si="10"/>
        <v>0</v>
      </c>
      <c r="E261" s="24"/>
      <c r="F261" s="24"/>
      <c r="G261" s="24"/>
      <c r="H261" s="24"/>
    </row>
    <row r="262" spans="2:8" ht="15" x14ac:dyDescent="0.25">
      <c r="B262" s="26" t="str">
        <f t="shared" si="9"/>
        <v>0000</v>
      </c>
      <c r="C262" s="26">
        <f t="shared" si="11"/>
        <v>0</v>
      </c>
      <c r="D262" s="26" t="str">
        <f t="shared" si="10"/>
        <v>0</v>
      </c>
      <c r="E262" s="24"/>
      <c r="F262" s="24"/>
      <c r="G262" s="24"/>
      <c r="H262" s="24"/>
    </row>
    <row r="263" spans="2:8" ht="15" x14ac:dyDescent="0.25">
      <c r="B263" s="26" t="str">
        <f t="shared" si="9"/>
        <v>0000</v>
      </c>
      <c r="C263" s="26">
        <f t="shared" si="11"/>
        <v>0</v>
      </c>
      <c r="D263" s="26" t="str">
        <f t="shared" si="10"/>
        <v>0</v>
      </c>
      <c r="E263" s="24"/>
      <c r="F263" s="24"/>
      <c r="G263" s="24"/>
      <c r="H263" s="24"/>
    </row>
    <row r="264" spans="2:8" ht="15" x14ac:dyDescent="0.25">
      <c r="B264" s="26" t="str">
        <f t="shared" si="9"/>
        <v>0000</v>
      </c>
      <c r="C264" s="26">
        <f t="shared" si="11"/>
        <v>0</v>
      </c>
      <c r="D264" s="26" t="str">
        <f t="shared" si="10"/>
        <v>0</v>
      </c>
      <c r="E264" s="24"/>
      <c r="F264" s="24"/>
      <c r="G264" s="24"/>
      <c r="H264" s="24"/>
    </row>
    <row r="265" spans="2:8" ht="15" x14ac:dyDescent="0.25">
      <c r="B265" s="26" t="str">
        <f t="shared" si="9"/>
        <v>0000</v>
      </c>
      <c r="C265" s="26">
        <f t="shared" si="11"/>
        <v>0</v>
      </c>
      <c r="D265" s="26" t="str">
        <f t="shared" si="10"/>
        <v>0</v>
      </c>
      <c r="E265" s="24"/>
      <c r="F265" s="24"/>
      <c r="G265" s="24"/>
      <c r="H265" s="24"/>
    </row>
    <row r="266" spans="2:8" ht="15" x14ac:dyDescent="0.25">
      <c r="B266" s="26" t="str">
        <f t="shared" si="9"/>
        <v>0000</v>
      </c>
      <c r="C266" s="26">
        <f t="shared" si="11"/>
        <v>0</v>
      </c>
      <c r="D266" s="26" t="str">
        <f t="shared" si="10"/>
        <v>0</v>
      </c>
      <c r="E266" s="24"/>
      <c r="F266" s="24"/>
      <c r="G266" s="24"/>
      <c r="H266" s="24"/>
    </row>
    <row r="267" spans="2:8" ht="15" x14ac:dyDescent="0.25">
      <c r="B267" s="26" t="str">
        <f t="shared" si="9"/>
        <v>0000</v>
      </c>
      <c r="C267" s="26">
        <f t="shared" si="11"/>
        <v>0</v>
      </c>
      <c r="D267" s="26" t="str">
        <f t="shared" si="10"/>
        <v>0</v>
      </c>
      <c r="E267" s="24"/>
      <c r="F267" s="24"/>
      <c r="G267" s="24"/>
      <c r="H267" s="24"/>
    </row>
    <row r="268" spans="2:8" ht="15" x14ac:dyDescent="0.25">
      <c r="B268" s="26" t="str">
        <f t="shared" si="9"/>
        <v>0000</v>
      </c>
      <c r="C268" s="26">
        <f t="shared" si="11"/>
        <v>0</v>
      </c>
      <c r="D268" s="26" t="str">
        <f t="shared" si="10"/>
        <v>0</v>
      </c>
      <c r="E268" s="24"/>
      <c r="F268" s="24"/>
      <c r="G268" s="24"/>
      <c r="H268" s="24"/>
    </row>
    <row r="269" spans="2:8" ht="15" x14ac:dyDescent="0.25">
      <c r="B269" s="26" t="str">
        <f t="shared" si="9"/>
        <v>0000</v>
      </c>
      <c r="C269" s="26">
        <f t="shared" si="11"/>
        <v>0</v>
      </c>
      <c r="D269" s="26" t="str">
        <f t="shared" si="10"/>
        <v>0</v>
      </c>
      <c r="E269" s="24"/>
      <c r="F269" s="24"/>
      <c r="G269" s="24"/>
      <c r="H269" s="24"/>
    </row>
    <row r="270" spans="2:8" ht="15" x14ac:dyDescent="0.25">
      <c r="B270" s="26" t="str">
        <f t="shared" si="9"/>
        <v>0000</v>
      </c>
      <c r="C270" s="26">
        <f t="shared" si="11"/>
        <v>0</v>
      </c>
      <c r="D270" s="26" t="str">
        <f t="shared" si="10"/>
        <v>0</v>
      </c>
      <c r="E270" s="24"/>
      <c r="F270" s="24"/>
      <c r="G270" s="24"/>
      <c r="H270" s="24"/>
    </row>
    <row r="271" spans="2:8" ht="15" x14ac:dyDescent="0.25">
      <c r="B271" s="26" t="str">
        <f t="shared" si="9"/>
        <v>0000</v>
      </c>
      <c r="C271" s="26">
        <f t="shared" si="11"/>
        <v>0</v>
      </c>
      <c r="D271" s="26" t="str">
        <f t="shared" si="10"/>
        <v>0</v>
      </c>
      <c r="E271" s="24"/>
      <c r="F271" s="24"/>
      <c r="G271" s="24"/>
      <c r="H271" s="24"/>
    </row>
    <row r="272" spans="2:8" ht="15" x14ac:dyDescent="0.25">
      <c r="B272" s="26" t="str">
        <f t="shared" si="9"/>
        <v>0000</v>
      </c>
      <c r="C272" s="26">
        <f t="shared" si="11"/>
        <v>0</v>
      </c>
      <c r="D272" s="26" t="str">
        <f t="shared" si="10"/>
        <v>0</v>
      </c>
      <c r="E272" s="24"/>
      <c r="F272" s="24"/>
      <c r="G272" s="24"/>
      <c r="H272" s="24"/>
    </row>
    <row r="273" spans="2:8" ht="15" x14ac:dyDescent="0.25">
      <c r="B273" s="26" t="str">
        <f t="shared" si="9"/>
        <v>0000</v>
      </c>
      <c r="C273" s="26">
        <f t="shared" si="11"/>
        <v>0</v>
      </c>
      <c r="D273" s="26" t="str">
        <f t="shared" si="10"/>
        <v>0</v>
      </c>
      <c r="E273" s="24"/>
      <c r="F273" s="24"/>
      <c r="G273" s="24"/>
      <c r="H273" s="24"/>
    </row>
    <row r="274" spans="2:8" ht="15" x14ac:dyDescent="0.25">
      <c r="B274" s="26" t="str">
        <f t="shared" si="9"/>
        <v>0000</v>
      </c>
      <c r="C274" s="26">
        <f t="shared" si="11"/>
        <v>0</v>
      </c>
      <c r="D274" s="26" t="str">
        <f t="shared" si="10"/>
        <v>0</v>
      </c>
      <c r="E274" s="24"/>
      <c r="F274" s="24"/>
      <c r="G274" s="24"/>
      <c r="H274" s="24"/>
    </row>
    <row r="275" spans="2:8" ht="15" x14ac:dyDescent="0.25">
      <c r="B275" s="26" t="str">
        <f t="shared" si="9"/>
        <v>0000</v>
      </c>
      <c r="C275" s="26">
        <f t="shared" si="11"/>
        <v>0</v>
      </c>
      <c r="D275" s="26" t="str">
        <f t="shared" si="10"/>
        <v>0</v>
      </c>
      <c r="E275" s="24"/>
      <c r="F275" s="24"/>
      <c r="G275" s="24"/>
      <c r="H275" s="24"/>
    </row>
    <row r="276" spans="2:8" ht="15" x14ac:dyDescent="0.25">
      <c r="B276" s="26" t="str">
        <f t="shared" si="9"/>
        <v>0000</v>
      </c>
      <c r="C276" s="26">
        <f t="shared" si="11"/>
        <v>0</v>
      </c>
      <c r="D276" s="26" t="str">
        <f t="shared" si="10"/>
        <v>0</v>
      </c>
      <c r="E276" s="24"/>
      <c r="F276" s="24"/>
      <c r="G276" s="24"/>
      <c r="H276" s="24"/>
    </row>
    <row r="277" spans="2:8" ht="15" x14ac:dyDescent="0.25">
      <c r="B277" s="26" t="str">
        <f t="shared" si="9"/>
        <v>0000</v>
      </c>
      <c r="C277" s="26">
        <f t="shared" si="11"/>
        <v>0</v>
      </c>
      <c r="D277" s="26" t="str">
        <f t="shared" si="10"/>
        <v>0</v>
      </c>
      <c r="E277" s="24"/>
      <c r="F277" s="24"/>
      <c r="G277" s="24"/>
      <c r="H277" s="24"/>
    </row>
    <row r="278" spans="2:8" ht="15" x14ac:dyDescent="0.25">
      <c r="B278" s="26" t="str">
        <f t="shared" si="9"/>
        <v>0000</v>
      </c>
      <c r="C278" s="26">
        <f t="shared" si="11"/>
        <v>0</v>
      </c>
      <c r="D278" s="26" t="str">
        <f t="shared" si="10"/>
        <v>0</v>
      </c>
      <c r="E278" s="24"/>
      <c r="F278" s="24"/>
      <c r="G278" s="24"/>
      <c r="H278" s="24"/>
    </row>
    <row r="279" spans="2:8" ht="15" x14ac:dyDescent="0.25">
      <c r="B279" s="26" t="str">
        <f t="shared" si="9"/>
        <v>0000</v>
      </c>
      <c r="C279" s="26">
        <f t="shared" si="11"/>
        <v>0</v>
      </c>
      <c r="D279" s="26" t="str">
        <f t="shared" si="10"/>
        <v>0</v>
      </c>
      <c r="E279" s="24"/>
      <c r="F279" s="24"/>
      <c r="G279" s="24"/>
      <c r="H279" s="24"/>
    </row>
    <row r="280" spans="2:8" ht="15" x14ac:dyDescent="0.25">
      <c r="B280" s="26" t="str">
        <f t="shared" si="9"/>
        <v>0000</v>
      </c>
      <c r="C280" s="26">
        <f t="shared" si="11"/>
        <v>0</v>
      </c>
      <c r="D280" s="26" t="str">
        <f t="shared" si="10"/>
        <v>0</v>
      </c>
      <c r="E280" s="24"/>
      <c r="F280" s="24"/>
      <c r="G280" s="24"/>
      <c r="H280" s="24"/>
    </row>
    <row r="281" spans="2:8" ht="15" x14ac:dyDescent="0.25">
      <c r="B281" s="26" t="str">
        <f t="shared" si="9"/>
        <v>0000</v>
      </c>
      <c r="C281" s="26">
        <f t="shared" si="11"/>
        <v>0</v>
      </c>
      <c r="D281" s="26" t="str">
        <f t="shared" si="10"/>
        <v>0</v>
      </c>
      <c r="E281" s="24"/>
      <c r="F281" s="24"/>
      <c r="G281" s="24"/>
      <c r="H281" s="24"/>
    </row>
    <row r="282" spans="2:8" ht="15" x14ac:dyDescent="0.25">
      <c r="B282" s="26" t="str">
        <f t="shared" si="9"/>
        <v>0000</v>
      </c>
      <c r="C282" s="26">
        <f t="shared" si="11"/>
        <v>0</v>
      </c>
      <c r="D282" s="26" t="str">
        <f t="shared" si="10"/>
        <v>0</v>
      </c>
      <c r="E282" s="24"/>
      <c r="F282" s="24"/>
      <c r="G282" s="24"/>
      <c r="H282" s="24"/>
    </row>
    <row r="283" spans="2:8" ht="15" x14ac:dyDescent="0.25">
      <c r="B283" s="26" t="str">
        <f t="shared" si="9"/>
        <v>0000</v>
      </c>
      <c r="C283" s="26">
        <f t="shared" si="11"/>
        <v>0</v>
      </c>
      <c r="D283" s="26" t="str">
        <f t="shared" si="10"/>
        <v>0</v>
      </c>
      <c r="E283" s="24"/>
      <c r="F283" s="24"/>
      <c r="G283" s="24"/>
      <c r="H283" s="24"/>
    </row>
    <row r="284" spans="2:8" ht="15" x14ac:dyDescent="0.25">
      <c r="B284" s="26" t="str">
        <f t="shared" si="9"/>
        <v>0000</v>
      </c>
      <c r="C284" s="26">
        <f t="shared" si="11"/>
        <v>0</v>
      </c>
      <c r="D284" s="26" t="str">
        <f t="shared" si="10"/>
        <v>0</v>
      </c>
      <c r="E284" s="24"/>
      <c r="F284" s="24"/>
      <c r="G284" s="24"/>
      <c r="H284" s="24"/>
    </row>
    <row r="285" spans="2:8" ht="15" x14ac:dyDescent="0.25">
      <c r="B285" s="26" t="str">
        <f t="shared" si="9"/>
        <v>0000</v>
      </c>
      <c r="C285" s="26">
        <f t="shared" si="11"/>
        <v>0</v>
      </c>
      <c r="D285" s="26" t="str">
        <f t="shared" si="10"/>
        <v>0</v>
      </c>
      <c r="E285" s="24"/>
      <c r="F285" s="24"/>
      <c r="G285" s="24"/>
      <c r="H285" s="24"/>
    </row>
    <row r="286" spans="2:8" ht="15" x14ac:dyDescent="0.25">
      <c r="B286" s="26" t="str">
        <f t="shared" si="9"/>
        <v>0000</v>
      </c>
      <c r="C286" s="26">
        <f t="shared" si="11"/>
        <v>0</v>
      </c>
      <c r="D286" s="26" t="str">
        <f t="shared" si="10"/>
        <v>0</v>
      </c>
      <c r="E286" s="24"/>
      <c r="F286" s="24"/>
      <c r="G286" s="24"/>
      <c r="H286" s="24"/>
    </row>
    <row r="287" spans="2:8" ht="15" x14ac:dyDescent="0.25">
      <c r="B287" s="26" t="str">
        <f t="shared" si="9"/>
        <v>0000</v>
      </c>
      <c r="C287" s="26">
        <f t="shared" si="11"/>
        <v>0</v>
      </c>
      <c r="D287" s="26" t="str">
        <f t="shared" si="10"/>
        <v>0</v>
      </c>
      <c r="E287" s="24"/>
      <c r="F287" s="24"/>
      <c r="G287" s="24"/>
      <c r="H287" s="24"/>
    </row>
    <row r="288" spans="2:8" ht="15" x14ac:dyDescent="0.25">
      <c r="B288" s="26" t="str">
        <f t="shared" si="9"/>
        <v>0000</v>
      </c>
      <c r="C288" s="26">
        <f t="shared" si="11"/>
        <v>0</v>
      </c>
      <c r="D288" s="26" t="str">
        <f t="shared" si="10"/>
        <v>0</v>
      </c>
      <c r="E288" s="24"/>
      <c r="F288" s="24"/>
      <c r="G288" s="24"/>
      <c r="H288" s="24"/>
    </row>
    <row r="289" spans="2:8" ht="15" x14ac:dyDescent="0.25">
      <c r="B289" s="26" t="str">
        <f t="shared" si="9"/>
        <v>0000</v>
      </c>
      <c r="C289" s="26">
        <f t="shared" si="11"/>
        <v>0</v>
      </c>
      <c r="D289" s="26" t="str">
        <f t="shared" si="10"/>
        <v>0</v>
      </c>
      <c r="E289" s="24"/>
      <c r="F289" s="24"/>
      <c r="G289" s="24"/>
      <c r="H289" s="24"/>
    </row>
    <row r="290" spans="2:8" ht="15" x14ac:dyDescent="0.25">
      <c r="B290" s="26" t="str">
        <f t="shared" si="9"/>
        <v>0000</v>
      </c>
      <c r="C290" s="26">
        <f t="shared" si="11"/>
        <v>0</v>
      </c>
      <c r="D290" s="26" t="str">
        <f t="shared" si="10"/>
        <v>0</v>
      </c>
      <c r="E290" s="24"/>
      <c r="F290" s="24"/>
      <c r="G290" s="24"/>
      <c r="H290" s="24"/>
    </row>
    <row r="291" spans="2:8" ht="15" x14ac:dyDescent="0.25">
      <c r="B291" s="26" t="str">
        <f t="shared" si="9"/>
        <v>0000</v>
      </c>
      <c r="C291" s="26">
        <f t="shared" si="11"/>
        <v>0</v>
      </c>
      <c r="D291" s="26" t="str">
        <f t="shared" si="10"/>
        <v>0</v>
      </c>
      <c r="E291" s="24"/>
      <c r="F291" s="24"/>
      <c r="G291" s="24"/>
      <c r="H291" s="24"/>
    </row>
    <row r="292" spans="2:8" ht="15" x14ac:dyDescent="0.25">
      <c r="B292" s="26" t="str">
        <f t="shared" si="9"/>
        <v>0000</v>
      </c>
      <c r="C292" s="26">
        <f t="shared" si="11"/>
        <v>0</v>
      </c>
      <c r="D292" s="26" t="str">
        <f t="shared" si="10"/>
        <v>0</v>
      </c>
      <c r="E292" s="24"/>
      <c r="F292" s="24"/>
      <c r="G292" s="24"/>
      <c r="H292" s="24"/>
    </row>
    <row r="293" spans="2:8" ht="15" x14ac:dyDescent="0.25">
      <c r="B293" s="26" t="str">
        <f t="shared" si="9"/>
        <v>0000</v>
      </c>
      <c r="C293" s="26">
        <f t="shared" si="11"/>
        <v>0</v>
      </c>
      <c r="D293" s="26" t="str">
        <f t="shared" si="10"/>
        <v>0</v>
      </c>
      <c r="E293" s="24"/>
      <c r="F293" s="24"/>
      <c r="G293" s="24"/>
      <c r="H293" s="24"/>
    </row>
    <row r="294" spans="2:8" ht="15" x14ac:dyDescent="0.25">
      <c r="B294" s="26" t="str">
        <f t="shared" si="9"/>
        <v>0000</v>
      </c>
      <c r="C294" s="26">
        <f t="shared" si="11"/>
        <v>0</v>
      </c>
      <c r="D294" s="26" t="str">
        <f t="shared" si="10"/>
        <v>0</v>
      </c>
      <c r="E294" s="24"/>
      <c r="F294" s="24"/>
      <c r="G294" s="24"/>
      <c r="H294" s="24"/>
    </row>
    <row r="295" spans="2:8" ht="15" x14ac:dyDescent="0.25">
      <c r="B295" s="26" t="str">
        <f t="shared" si="9"/>
        <v>0000</v>
      </c>
      <c r="C295" s="26">
        <f t="shared" si="11"/>
        <v>0</v>
      </c>
      <c r="D295" s="26" t="str">
        <f t="shared" si="10"/>
        <v>0</v>
      </c>
      <c r="E295" s="24"/>
      <c r="F295" s="24"/>
      <c r="G295" s="24"/>
      <c r="H295" s="24"/>
    </row>
    <row r="296" spans="2:8" ht="15" x14ac:dyDescent="0.25">
      <c r="B296" s="26" t="str">
        <f t="shared" si="9"/>
        <v>0000</v>
      </c>
      <c r="C296" s="26">
        <f t="shared" si="11"/>
        <v>0</v>
      </c>
      <c r="D296" s="26" t="str">
        <f t="shared" si="10"/>
        <v>0</v>
      </c>
      <c r="E296" s="24"/>
      <c r="F296" s="24"/>
      <c r="G296" s="24"/>
      <c r="H296" s="24"/>
    </row>
    <row r="297" spans="2:8" ht="15" x14ac:dyDescent="0.25">
      <c r="B297" s="26" t="str">
        <f t="shared" si="9"/>
        <v>0000</v>
      </c>
      <c r="C297" s="26">
        <f t="shared" si="11"/>
        <v>0</v>
      </c>
      <c r="D297" s="26" t="str">
        <f t="shared" si="10"/>
        <v>0</v>
      </c>
      <c r="E297" s="24"/>
      <c r="F297" s="24"/>
      <c r="G297" s="24"/>
      <c r="H297" s="24"/>
    </row>
    <row r="298" spans="2:8" ht="15" x14ac:dyDescent="0.25">
      <c r="B298" s="26" t="str">
        <f t="shared" si="9"/>
        <v>0000</v>
      </c>
      <c r="C298" s="26">
        <f t="shared" si="11"/>
        <v>0</v>
      </c>
      <c r="D298" s="26" t="str">
        <f t="shared" si="10"/>
        <v>0</v>
      </c>
      <c r="E298" s="24"/>
      <c r="F298" s="24"/>
      <c r="G298" s="24"/>
      <c r="H298" s="24"/>
    </row>
    <row r="299" spans="2:8" ht="15" x14ac:dyDescent="0.25">
      <c r="B299" s="26" t="str">
        <f t="shared" si="9"/>
        <v>0000</v>
      </c>
      <c r="C299" s="26">
        <f t="shared" si="11"/>
        <v>0</v>
      </c>
      <c r="D299" s="26" t="str">
        <f t="shared" si="10"/>
        <v>0</v>
      </c>
      <c r="E299" s="24"/>
      <c r="F299" s="24"/>
      <c r="G299" s="24"/>
      <c r="H299" s="24"/>
    </row>
    <row r="300" spans="2:8" ht="15" x14ac:dyDescent="0.25">
      <c r="B300" s="26" t="str">
        <f t="shared" si="9"/>
        <v>0000</v>
      </c>
      <c r="C300" s="26">
        <f t="shared" si="11"/>
        <v>0</v>
      </c>
      <c r="D300" s="26" t="str">
        <f t="shared" si="10"/>
        <v>0</v>
      </c>
      <c r="E300" s="24"/>
      <c r="F300" s="24"/>
      <c r="G300" s="24"/>
      <c r="H300" s="24"/>
    </row>
    <row r="301" spans="2:8" ht="15" x14ac:dyDescent="0.25">
      <c r="B301" s="26" t="str">
        <f t="shared" si="9"/>
        <v>0000</v>
      </c>
      <c r="C301" s="26">
        <f t="shared" si="11"/>
        <v>0</v>
      </c>
      <c r="D301" s="26" t="str">
        <f t="shared" si="10"/>
        <v>0</v>
      </c>
      <c r="E301" s="24"/>
      <c r="F301" s="24"/>
      <c r="G301" s="24"/>
      <c r="H301" s="24"/>
    </row>
    <row r="302" spans="2:8" ht="15" x14ac:dyDescent="0.25">
      <c r="B302" s="26" t="str">
        <f t="shared" si="9"/>
        <v>0000</v>
      </c>
      <c r="C302" s="26">
        <f t="shared" si="11"/>
        <v>0</v>
      </c>
      <c r="D302" s="26" t="str">
        <f t="shared" si="10"/>
        <v>0</v>
      </c>
      <c r="E302" s="24"/>
      <c r="F302" s="24"/>
      <c r="G302" s="24"/>
      <c r="H302" s="24"/>
    </row>
    <row r="303" spans="2:8" ht="15" x14ac:dyDescent="0.25">
      <c r="B303" s="26" t="str">
        <f t="shared" si="9"/>
        <v>0000</v>
      </c>
      <c r="C303" s="26">
        <f t="shared" si="11"/>
        <v>0</v>
      </c>
      <c r="D303" s="26" t="str">
        <f t="shared" si="10"/>
        <v>0</v>
      </c>
      <c r="E303" s="24"/>
      <c r="F303" s="24"/>
      <c r="G303" s="24"/>
      <c r="H303" s="24"/>
    </row>
    <row r="304" spans="2:8" ht="15" x14ac:dyDescent="0.25">
      <c r="B304" s="26" t="str">
        <f t="shared" si="9"/>
        <v>0000</v>
      </c>
      <c r="C304" s="26">
        <f t="shared" si="11"/>
        <v>0</v>
      </c>
      <c r="D304" s="26" t="str">
        <f t="shared" si="10"/>
        <v>0</v>
      </c>
      <c r="E304" s="24"/>
      <c r="F304" s="24"/>
      <c r="G304" s="24"/>
      <c r="H304" s="24"/>
    </row>
    <row r="305" spans="2:8" ht="15" x14ac:dyDescent="0.25">
      <c r="B305" s="26" t="str">
        <f t="shared" si="9"/>
        <v>0000</v>
      </c>
      <c r="C305" s="26">
        <f t="shared" si="11"/>
        <v>0</v>
      </c>
      <c r="D305" s="26" t="str">
        <f t="shared" si="10"/>
        <v>0</v>
      </c>
      <c r="E305" s="24"/>
      <c r="F305" s="24"/>
      <c r="G305" s="24"/>
      <c r="H305" s="24"/>
    </row>
    <row r="306" spans="2:8" ht="15" x14ac:dyDescent="0.25">
      <c r="B306" s="26" t="str">
        <f t="shared" si="9"/>
        <v>0000</v>
      </c>
      <c r="C306" s="26">
        <f t="shared" si="11"/>
        <v>0</v>
      </c>
      <c r="D306" s="26" t="str">
        <f t="shared" si="10"/>
        <v>0</v>
      </c>
      <c r="E306" s="24"/>
      <c r="F306" s="24"/>
      <c r="G306" s="24"/>
      <c r="H306" s="24"/>
    </row>
    <row r="307" spans="2:8" ht="15" x14ac:dyDescent="0.25">
      <c r="C307" s="26"/>
    </row>
    <row r="308" spans="2:8" ht="15" x14ac:dyDescent="0.25">
      <c r="C308" s="26"/>
    </row>
    <row r="309" spans="2:8" ht="15" x14ac:dyDescent="0.25">
      <c r="C309" s="26"/>
    </row>
    <row r="310" spans="2:8" ht="15" x14ac:dyDescent="0.25">
      <c r="C310" s="26"/>
    </row>
    <row r="311" spans="2:8" ht="15" x14ac:dyDescent="0.25">
      <c r="C311" s="26"/>
    </row>
  </sheetData>
  <mergeCells count="4">
    <mergeCell ref="B2:H4"/>
    <mergeCell ref="B5:H7"/>
    <mergeCell ref="B11:C11"/>
    <mergeCell ref="B12:C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25"/>
  <sheetViews>
    <sheetView workbookViewId="0">
      <selection activeCell="B2" sqref="B2:H4"/>
    </sheetView>
  </sheetViews>
  <sheetFormatPr defaultColWidth="9.140625" defaultRowHeight="12.75" x14ac:dyDescent="0.2"/>
  <cols>
    <col min="1" max="1" width="0.5703125" style="4" customWidth="1"/>
    <col min="2" max="16384" width="9.140625" style="5"/>
  </cols>
  <sheetData>
    <row r="1" spans="2:8" s="4" customFormat="1" ht="3" customHeight="1" x14ac:dyDescent="0.2"/>
    <row r="2" spans="2:8" ht="15" customHeight="1" x14ac:dyDescent="0.2">
      <c r="B2" s="33" t="s">
        <v>77</v>
      </c>
      <c r="C2" s="33"/>
      <c r="D2" s="33"/>
      <c r="E2" s="33"/>
      <c r="F2" s="33"/>
      <c r="G2" s="33"/>
      <c r="H2" s="33"/>
    </row>
    <row r="3" spans="2:8" ht="15" customHeight="1" x14ac:dyDescent="0.2">
      <c r="B3" s="33"/>
      <c r="C3" s="33"/>
      <c r="D3" s="33"/>
      <c r="E3" s="33"/>
      <c r="F3" s="33"/>
      <c r="G3" s="33"/>
      <c r="H3" s="33"/>
    </row>
    <row r="4" spans="2:8" ht="15" customHeight="1" x14ac:dyDescent="0.2">
      <c r="B4" s="33"/>
      <c r="C4" s="33"/>
      <c r="D4" s="33"/>
      <c r="E4" s="33"/>
      <c r="F4" s="33"/>
      <c r="G4" s="33"/>
      <c r="H4" s="33"/>
    </row>
    <row r="5" spans="2:8" x14ac:dyDescent="0.2">
      <c r="B5" s="34" t="s">
        <v>107</v>
      </c>
      <c r="C5" s="34"/>
      <c r="D5" s="34"/>
      <c r="E5" s="34"/>
      <c r="F5" s="34"/>
      <c r="G5" s="34"/>
      <c r="H5" s="34"/>
    </row>
    <row r="6" spans="2:8" x14ac:dyDescent="0.2">
      <c r="B6" s="34"/>
      <c r="C6" s="34"/>
      <c r="D6" s="34"/>
      <c r="E6" s="34"/>
      <c r="F6" s="34"/>
      <c r="G6" s="34"/>
      <c r="H6" s="34"/>
    </row>
    <row r="7" spans="2:8" x14ac:dyDescent="0.2">
      <c r="B7" s="34"/>
      <c r="C7" s="34"/>
      <c r="D7" s="34"/>
      <c r="E7" s="34"/>
      <c r="F7" s="34"/>
      <c r="G7" s="34"/>
      <c r="H7" s="34"/>
    </row>
    <row r="8" spans="2:8" ht="3.75" customHeight="1" x14ac:dyDescent="0.2"/>
    <row r="9" spans="2:8" ht="3.75" customHeight="1" x14ac:dyDescent="0.2"/>
    <row r="10" spans="2:8" x14ac:dyDescent="0.2">
      <c r="B10" s="35" t="s">
        <v>12</v>
      </c>
      <c r="C10" s="35"/>
      <c r="D10" s="9" t="s">
        <v>13</v>
      </c>
      <c r="G10" s="9" t="s">
        <v>18</v>
      </c>
    </row>
    <row r="11" spans="2:8" x14ac:dyDescent="0.2">
      <c r="B11" s="19" t="s">
        <v>78</v>
      </c>
      <c r="C11" s="19"/>
      <c r="D11" s="38">
        <v>-128</v>
      </c>
      <c r="E11" s="38"/>
      <c r="F11" s="38"/>
    </row>
    <row r="12" spans="2:8" x14ac:dyDescent="0.2">
      <c r="B12" s="19" t="s">
        <v>79</v>
      </c>
      <c r="C12" s="19"/>
      <c r="D12" s="38">
        <v>127</v>
      </c>
      <c r="E12" s="38"/>
      <c r="F12" s="38"/>
    </row>
    <row r="13" spans="2:8" x14ac:dyDescent="0.2">
      <c r="B13" s="19" t="s">
        <v>81</v>
      </c>
      <c r="C13" s="19"/>
      <c r="D13" s="38">
        <v>255</v>
      </c>
      <c r="E13" s="38"/>
      <c r="F13" s="38"/>
    </row>
    <row r="14" spans="2:8" x14ac:dyDescent="0.2">
      <c r="B14" s="19" t="s">
        <v>80</v>
      </c>
      <c r="C14" s="19"/>
      <c r="D14" s="37">
        <v>-32768</v>
      </c>
      <c r="E14" s="37"/>
      <c r="F14" s="37"/>
    </row>
    <row r="15" spans="2:8" x14ac:dyDescent="0.2">
      <c r="B15" s="19" t="s">
        <v>82</v>
      </c>
      <c r="C15" s="19"/>
      <c r="D15" s="37">
        <v>32767</v>
      </c>
      <c r="E15" s="37"/>
      <c r="F15" s="37"/>
    </row>
    <row r="16" spans="2:8" x14ac:dyDescent="0.2">
      <c r="B16" s="5" t="s">
        <v>83</v>
      </c>
      <c r="D16" s="37">
        <v>65535</v>
      </c>
      <c r="E16" s="37"/>
      <c r="F16" s="37"/>
    </row>
    <row r="17" spans="2:7" x14ac:dyDescent="0.2">
      <c r="B17" s="5" t="s">
        <v>85</v>
      </c>
      <c r="D17" s="37">
        <v>-2147483648</v>
      </c>
      <c r="E17" s="37"/>
      <c r="F17" s="37"/>
      <c r="G17" s="28"/>
    </row>
    <row r="18" spans="2:7" x14ac:dyDescent="0.2">
      <c r="B18" s="5" t="s">
        <v>84</v>
      </c>
      <c r="D18" s="37">
        <v>2147483647</v>
      </c>
      <c r="E18" s="37"/>
      <c r="F18" s="37"/>
      <c r="G18" s="28"/>
    </row>
    <row r="19" spans="2:7" x14ac:dyDescent="0.2">
      <c r="B19" s="5" t="s">
        <v>86</v>
      </c>
      <c r="D19" s="37">
        <v>4294967295</v>
      </c>
      <c r="E19" s="37"/>
      <c r="F19" s="37"/>
    </row>
    <row r="20" spans="2:7" x14ac:dyDescent="0.2">
      <c r="B20" s="5" t="s">
        <v>87</v>
      </c>
      <c r="D20" s="37"/>
      <c r="E20" s="37"/>
      <c r="F20" s="37"/>
      <c r="G20" s="5" t="s">
        <v>98</v>
      </c>
    </row>
    <row r="21" spans="2:7" x14ac:dyDescent="0.2">
      <c r="B21" s="5" t="s">
        <v>88</v>
      </c>
      <c r="D21" s="37"/>
      <c r="E21" s="37"/>
      <c r="F21" s="37"/>
    </row>
    <row r="22" spans="2:7" x14ac:dyDescent="0.2">
      <c r="B22" s="5" t="s">
        <v>91</v>
      </c>
      <c r="D22" s="37"/>
      <c r="E22" s="37"/>
      <c r="F22" s="37"/>
    </row>
    <row r="23" spans="2:7" x14ac:dyDescent="0.2">
      <c r="B23" s="5" t="s">
        <v>90</v>
      </c>
      <c r="D23" s="37"/>
      <c r="E23" s="37"/>
      <c r="F23" s="37"/>
    </row>
    <row r="24" spans="2:7" x14ac:dyDescent="0.2">
      <c r="B24" s="5" t="s">
        <v>89</v>
      </c>
      <c r="D24" s="37"/>
      <c r="E24" s="37"/>
      <c r="F24" s="37"/>
    </row>
    <row r="25" spans="2:7" x14ac:dyDescent="0.2">
      <c r="B25" s="5" t="s">
        <v>92</v>
      </c>
      <c r="D25" s="37"/>
      <c r="E25" s="37"/>
      <c r="F25" s="37"/>
    </row>
  </sheetData>
  <sheetProtection algorithmName="SHA-512" hashValue="DGDN2r7SaeaFzANmgBRBtwjgcmUSnKyGUI9TgfEtqs2yVR4949vubipo1kZPFtbuI1fpZBlro4gGbbdOaSz6GQ==" saltValue="3f+tVOblWdMNPB2UVav72Q==" spinCount="100000" sheet="1" objects="1" scenarios="1"/>
  <mergeCells count="18">
    <mergeCell ref="B2:H4"/>
    <mergeCell ref="B5:H7"/>
    <mergeCell ref="B10:C10"/>
    <mergeCell ref="D21:F21"/>
    <mergeCell ref="D18:F18"/>
    <mergeCell ref="D17:F17"/>
    <mergeCell ref="D16:F16"/>
    <mergeCell ref="D15:F15"/>
    <mergeCell ref="D13:F13"/>
    <mergeCell ref="D12:F12"/>
    <mergeCell ref="D11:F11"/>
    <mergeCell ref="D19:F19"/>
    <mergeCell ref="D20:F20"/>
    <mergeCell ref="D22:F22"/>
    <mergeCell ref="D23:F23"/>
    <mergeCell ref="D24:F24"/>
    <mergeCell ref="D25:F25"/>
    <mergeCell ref="D14:F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15"/>
  <sheetViews>
    <sheetView tabSelected="1" workbookViewId="0">
      <selection activeCell="B2" sqref="B2:H4"/>
    </sheetView>
  </sheetViews>
  <sheetFormatPr defaultColWidth="9.140625" defaultRowHeight="12.75" x14ac:dyDescent="0.2"/>
  <cols>
    <col min="1" max="1" width="0.5703125" style="4" customWidth="1"/>
    <col min="2" max="3" width="9.140625" style="5"/>
    <col min="4" max="4" width="9.140625" style="5" customWidth="1"/>
    <col min="5" max="16384" width="9.140625" style="5"/>
  </cols>
  <sheetData>
    <row r="1" spans="2:8" s="4" customFormat="1" ht="3" customHeight="1" x14ac:dyDescent="0.2"/>
    <row r="2" spans="2:8" ht="15" customHeight="1" x14ac:dyDescent="0.2">
      <c r="B2" s="33" t="s">
        <v>93</v>
      </c>
      <c r="C2" s="33"/>
      <c r="D2" s="33"/>
      <c r="E2" s="33"/>
      <c r="F2" s="33"/>
      <c r="G2" s="33"/>
      <c r="H2" s="33"/>
    </row>
    <row r="3" spans="2:8" ht="15" customHeight="1" x14ac:dyDescent="0.2">
      <c r="B3" s="33"/>
      <c r="C3" s="33"/>
      <c r="D3" s="33"/>
      <c r="E3" s="33"/>
      <c r="F3" s="33"/>
      <c r="G3" s="33"/>
      <c r="H3" s="33"/>
    </row>
    <row r="4" spans="2:8" ht="15" customHeight="1" x14ac:dyDescent="0.2">
      <c r="B4" s="33"/>
      <c r="C4" s="33"/>
      <c r="D4" s="33"/>
      <c r="E4" s="33"/>
      <c r="F4" s="33"/>
      <c r="G4" s="33"/>
      <c r="H4" s="33"/>
    </row>
    <row r="5" spans="2:8" x14ac:dyDescent="0.2">
      <c r="B5" s="34" t="s">
        <v>94</v>
      </c>
      <c r="C5" s="34"/>
      <c r="D5" s="34"/>
      <c r="E5" s="34"/>
      <c r="F5" s="34"/>
      <c r="G5" s="34"/>
      <c r="H5" s="34"/>
    </row>
    <row r="6" spans="2:8" x14ac:dyDescent="0.2">
      <c r="B6" s="34"/>
      <c r="C6" s="34"/>
      <c r="D6" s="34"/>
      <c r="E6" s="34"/>
      <c r="F6" s="34"/>
      <c r="G6" s="34"/>
      <c r="H6" s="34"/>
    </row>
    <row r="7" spans="2:8" x14ac:dyDescent="0.2">
      <c r="B7" s="34"/>
      <c r="C7" s="34"/>
      <c r="D7" s="34"/>
      <c r="E7" s="34"/>
      <c r="F7" s="34"/>
      <c r="G7" s="34"/>
      <c r="H7" s="34"/>
    </row>
    <row r="8" spans="2:8" ht="3.75" customHeight="1" x14ac:dyDescent="0.2"/>
    <row r="9" spans="2:8" ht="3.75" customHeight="1" x14ac:dyDescent="0.2"/>
    <row r="10" spans="2:8" x14ac:dyDescent="0.2">
      <c r="B10" s="35" t="s">
        <v>12</v>
      </c>
      <c r="C10" s="35"/>
      <c r="D10" s="35" t="s">
        <v>13</v>
      </c>
      <c r="E10" s="35"/>
      <c r="F10" s="9" t="s">
        <v>14</v>
      </c>
      <c r="G10" s="9" t="s">
        <v>18</v>
      </c>
    </row>
    <row r="11" spans="2:8" x14ac:dyDescent="0.2">
      <c r="B11" s="5" t="s">
        <v>95</v>
      </c>
      <c r="D11" s="32">
        <f>UINT32_MAX/FCY/2</f>
        <v>134.21772796875001</v>
      </c>
      <c r="E11" s="32"/>
      <c r="F11" s="5" t="s">
        <v>99</v>
      </c>
      <c r="G11" s="5" t="s">
        <v>102</v>
      </c>
    </row>
    <row r="12" spans="2:8" x14ac:dyDescent="0.2">
      <c r="B12" s="5" t="s">
        <v>96</v>
      </c>
      <c r="D12" s="32">
        <f>UINT32_MAX/FCY*1000/2</f>
        <v>134217.72796875</v>
      </c>
      <c r="E12" s="32"/>
      <c r="F12" s="5" t="s">
        <v>100</v>
      </c>
      <c r="G12" s="5" t="s">
        <v>104</v>
      </c>
    </row>
    <row r="13" spans="2:8" x14ac:dyDescent="0.2">
      <c r="B13" s="5" t="s">
        <v>97</v>
      </c>
      <c r="D13" s="32">
        <f>UINT32_MAX/FCY*1000000/2</f>
        <v>134217727.96875001</v>
      </c>
      <c r="E13" s="32"/>
      <c r="F13" s="5" t="s">
        <v>101</v>
      </c>
      <c r="G13" s="5" t="s">
        <v>103</v>
      </c>
    </row>
    <row r="14" spans="2:8" x14ac:dyDescent="0.2">
      <c r="B14" s="19"/>
      <c r="C14" s="19"/>
    </row>
    <row r="15" spans="2:8" x14ac:dyDescent="0.2">
      <c r="B15" s="19"/>
      <c r="C15" s="19"/>
    </row>
  </sheetData>
  <sheetProtection algorithmName="SHA-512" hashValue="g2NyUONMQERSUjmg/bP7iaI2mKaulBRc+eU9/ceV5lTewnPh83TJ5iKK0S40uqlmjt428b4D3Nr3akmX+vtlrg==" saltValue="eBwosl/3Rnjph80FVoW1UQ==" spinCount="100000" sheet="1" objects="1" scenarios="1"/>
  <mergeCells count="7">
    <mergeCell ref="D13:E13"/>
    <mergeCell ref="D10:E10"/>
    <mergeCell ref="B2:H4"/>
    <mergeCell ref="B5:H7"/>
    <mergeCell ref="B10:C10"/>
    <mergeCell ref="D11:E11"/>
    <mergeCell ref="D12:E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5"/>
  <sheetViews>
    <sheetView workbookViewId="0">
      <selection activeCell="B2" sqref="B2:H4"/>
    </sheetView>
  </sheetViews>
  <sheetFormatPr defaultColWidth="9.140625" defaultRowHeight="12.75" x14ac:dyDescent="0.2"/>
  <cols>
    <col min="1" max="1" width="0.5703125" style="4" customWidth="1"/>
    <col min="2" max="16384" width="9.140625" style="5"/>
  </cols>
  <sheetData>
    <row r="1" spans="2:8" s="4" customFormat="1" ht="3" customHeight="1" x14ac:dyDescent="0.2"/>
    <row r="2" spans="2:8" ht="15" customHeight="1" x14ac:dyDescent="0.2">
      <c r="B2" s="33" t="s">
        <v>52</v>
      </c>
      <c r="C2" s="33"/>
      <c r="D2" s="33"/>
      <c r="E2" s="33"/>
      <c r="F2" s="33"/>
      <c r="G2" s="33"/>
      <c r="H2" s="33"/>
    </row>
    <row r="3" spans="2:8" ht="15" customHeight="1" x14ac:dyDescent="0.2">
      <c r="B3" s="33"/>
      <c r="C3" s="33"/>
      <c r="D3" s="33"/>
      <c r="E3" s="33"/>
      <c r="F3" s="33"/>
      <c r="G3" s="33"/>
      <c r="H3" s="33"/>
    </row>
    <row r="4" spans="2:8" ht="15" customHeight="1" x14ac:dyDescent="0.2">
      <c r="B4" s="33"/>
      <c r="C4" s="33"/>
      <c r="D4" s="33"/>
      <c r="E4" s="33"/>
      <c r="F4" s="33"/>
      <c r="G4" s="33"/>
      <c r="H4" s="33"/>
    </row>
    <row r="5" spans="2:8" x14ac:dyDescent="0.2">
      <c r="B5" s="34" t="s">
        <v>51</v>
      </c>
      <c r="C5" s="34"/>
      <c r="D5" s="34"/>
      <c r="E5" s="34"/>
      <c r="F5" s="34"/>
      <c r="G5" s="34"/>
      <c r="H5" s="34"/>
    </row>
    <row r="6" spans="2:8" x14ac:dyDescent="0.2">
      <c r="B6" s="34"/>
      <c r="C6" s="34"/>
      <c r="D6" s="34"/>
      <c r="E6" s="34"/>
      <c r="F6" s="34"/>
      <c r="G6" s="34"/>
      <c r="H6" s="34"/>
    </row>
    <row r="7" spans="2:8" x14ac:dyDescent="0.2">
      <c r="B7" s="34"/>
      <c r="C7" s="34"/>
      <c r="D7" s="34"/>
      <c r="E7" s="34"/>
      <c r="F7" s="34"/>
      <c r="G7" s="34"/>
      <c r="H7" s="34"/>
    </row>
    <row r="8" spans="2:8" ht="3.75" customHeight="1" x14ac:dyDescent="0.2"/>
    <row r="9" spans="2:8" ht="3.75" customHeight="1" x14ac:dyDescent="0.2"/>
    <row r="10" spans="2:8" x14ac:dyDescent="0.2">
      <c r="B10" s="19" t="s">
        <v>53</v>
      </c>
      <c r="C10" s="19"/>
    </row>
    <row r="11" spans="2:8" x14ac:dyDescent="0.2">
      <c r="B11" s="19"/>
      <c r="C11" s="19"/>
      <c r="D11" s="20"/>
    </row>
    <row r="12" spans="2:8" x14ac:dyDescent="0.2">
      <c r="B12" s="19"/>
      <c r="C12" s="19"/>
      <c r="D12" s="21"/>
    </row>
    <row r="13" spans="2:8" x14ac:dyDescent="0.2">
      <c r="B13" s="19"/>
      <c r="C13" s="19"/>
      <c r="D13" s="20"/>
    </row>
    <row r="14" spans="2:8" x14ac:dyDescent="0.2">
      <c r="B14" s="19"/>
      <c r="C14" s="19"/>
    </row>
    <row r="15" spans="2:8" x14ac:dyDescent="0.2">
      <c r="B15" s="19"/>
      <c r="C15" s="19"/>
    </row>
  </sheetData>
  <mergeCells count="2">
    <mergeCell ref="B2:H4"/>
    <mergeCell ref="B5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Overview</vt:lpstr>
      <vt:lpstr>Oscillator</vt:lpstr>
      <vt:lpstr>UART</vt:lpstr>
      <vt:lpstr>Power measurements</vt:lpstr>
      <vt:lpstr>BAM</vt:lpstr>
      <vt:lpstr>Stdint</vt:lpstr>
      <vt:lpstr>Delay</vt:lpstr>
      <vt:lpstr>template</vt:lpstr>
      <vt:lpstr>BAM_bits</vt:lpstr>
      <vt:lpstr>delay_ms_MAX</vt:lpstr>
      <vt:lpstr>delay_s_MAX</vt:lpstr>
      <vt:lpstr>delay_us_MAX</vt:lpstr>
      <vt:lpstr>FCY</vt:lpstr>
      <vt:lpstr>FOSC</vt:lpstr>
      <vt:lpstr>FRCDIV</vt:lpstr>
      <vt:lpstr>INT16_MAX</vt:lpstr>
      <vt:lpstr>INT16_MIN</vt:lpstr>
      <vt:lpstr>INT32_MAX</vt:lpstr>
      <vt:lpstr>INT32_MIN</vt:lpstr>
      <vt:lpstr>INT8_MAX</vt:lpstr>
      <vt:lpstr>INT8_MIN</vt:lpstr>
      <vt:lpstr>PLL_enabled</vt:lpstr>
      <vt:lpstr>SYS_FREQ</vt:lpstr>
      <vt:lpstr>UART_BR_error</vt:lpstr>
      <vt:lpstr>UART_BRG</vt:lpstr>
      <vt:lpstr>UART_calculated_BR</vt:lpstr>
      <vt:lpstr>UART_desired_BR</vt:lpstr>
      <vt:lpstr>UART_high_speed</vt:lpstr>
      <vt:lpstr>UART_max_BRE_error</vt:lpstr>
      <vt:lpstr>UART_max_BRE_warning</vt:lpstr>
      <vt:lpstr>UINT16_MAX</vt:lpstr>
      <vt:lpstr>UINT32_MAX</vt:lpstr>
      <vt:lpstr>UINT8_MAX</vt:lpstr>
    </vt:vector>
  </TitlesOfParts>
  <Company>Vinny27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jdebruijn</dc:creator>
  <cp:lastModifiedBy>jdebruijn</cp:lastModifiedBy>
  <dcterms:created xsi:type="dcterms:W3CDTF">2015-10-12T15:26:51Z</dcterms:created>
  <dcterms:modified xsi:type="dcterms:W3CDTF">2015-11-06T10:23:05Z</dcterms:modified>
</cp:coreProperties>
</file>